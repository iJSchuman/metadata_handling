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sch\Documents\OSU\Sequencing Data\Apr 2022 samps\"/>
    </mc:Choice>
  </mc:AlternateContent>
  <xr:revisionPtr revIDLastSave="0" documentId="13_ncr:1_{616CB590-4D38-421D-BAA5-04ABAE96B366}" xr6:coauthVersionLast="47" xr6:coauthVersionMax="47" xr10:uidLastSave="{00000000-0000-0000-0000-000000000000}"/>
  <bookViews>
    <workbookView xWindow="-110" yWindow="-110" windowWidth="22620" windowHeight="14220" xr2:uid="{9B97C1D2-B3CD-42CD-B0FC-E62D22825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2" i="1"/>
</calcChain>
</file>

<file path=xl/sharedStrings.xml><?xml version="1.0" encoding="utf-8"?>
<sst xmlns="http://schemas.openxmlformats.org/spreadsheetml/2006/main" count="1059" uniqueCount="465">
  <si>
    <t>Run</t>
  </si>
  <si>
    <t>BioProject</t>
  </si>
  <si>
    <t>LibraryLayout</t>
  </si>
  <si>
    <t>ID</t>
  </si>
  <si>
    <t>PAIRED</t>
  </si>
  <si>
    <t>parasites</t>
  </si>
  <si>
    <t>FMS1-18s</t>
  </si>
  <si>
    <t>FMS2-18s</t>
  </si>
  <si>
    <t>FMS23-18s</t>
  </si>
  <si>
    <t>FMS30-18s</t>
  </si>
  <si>
    <t>FMS31-18s</t>
  </si>
  <si>
    <t>FMS35-18s</t>
  </si>
  <si>
    <t>FMS70-18s</t>
  </si>
  <si>
    <t>FMS79-18s</t>
  </si>
  <si>
    <t>FMS80-18s</t>
  </si>
  <si>
    <t>FMS81-18s</t>
  </si>
  <si>
    <t>FMS52-18s</t>
  </si>
  <si>
    <t>FMS83-18s</t>
  </si>
  <si>
    <t>FMS84-18s</t>
  </si>
  <si>
    <t>FMS86-18s</t>
  </si>
  <si>
    <t>FMS87-18s</t>
  </si>
  <si>
    <t>FMS88-18s</t>
  </si>
  <si>
    <t>FMS89-18s</t>
  </si>
  <si>
    <t>FMS101-18s</t>
  </si>
  <si>
    <t>FMS104-18s</t>
  </si>
  <si>
    <t>FMS109-18s</t>
  </si>
  <si>
    <t>FMS109B-18s</t>
  </si>
  <si>
    <t>FMS116-18s</t>
  </si>
  <si>
    <t>LCRFMS3CA7-18s</t>
  </si>
  <si>
    <t>FMS130-18s</t>
  </si>
  <si>
    <t>HBC8-18s</t>
  </si>
  <si>
    <t>HBC11-18s</t>
  </si>
  <si>
    <t>HBC27-18s</t>
  </si>
  <si>
    <t>LCRHBCF415-18s</t>
  </si>
  <si>
    <t>LCRHBC2532-18s</t>
  </si>
  <si>
    <t>LCRFMSA975-18s</t>
  </si>
  <si>
    <t>FMS122-18s</t>
  </si>
  <si>
    <t>LCRHBC9710-18s</t>
  </si>
  <si>
    <t>LCRFMS15B5-18s</t>
  </si>
  <si>
    <t>LCRHBCAEBC-18s</t>
  </si>
  <si>
    <t>LCRFMS15F1-18s</t>
  </si>
  <si>
    <t>LCRHBC15C9-18s</t>
  </si>
  <si>
    <t>LCRHBC3BD1-18s</t>
  </si>
  <si>
    <t>HBC18-18s</t>
  </si>
  <si>
    <t>RBT2-18s</t>
  </si>
  <si>
    <t>RBT1-18s</t>
  </si>
  <si>
    <t>HBC32-18s</t>
  </si>
  <si>
    <t>HBC30-18s</t>
  </si>
  <si>
    <t>HBC27B-18s</t>
  </si>
  <si>
    <t>HBC26-18s</t>
  </si>
  <si>
    <t>HBC15-18s</t>
  </si>
  <si>
    <t>FMS54-18s</t>
  </si>
  <si>
    <t>HBC5-18s</t>
  </si>
  <si>
    <t>HBC6-18s</t>
  </si>
  <si>
    <t>HBC7-18s</t>
  </si>
  <si>
    <t>FMS11-18s</t>
  </si>
  <si>
    <t>FMS10-18s</t>
  </si>
  <si>
    <t>FMS8-18s</t>
  </si>
  <si>
    <t>FMS5-18s</t>
  </si>
  <si>
    <t>FMS23B-18s</t>
  </si>
  <si>
    <t>FMS20-18s</t>
  </si>
  <si>
    <t>FMS14-18s</t>
  </si>
  <si>
    <t>FMS13-18s</t>
  </si>
  <si>
    <t>FMS12-18s</t>
  </si>
  <si>
    <t>FMS31B-18s</t>
  </si>
  <si>
    <t>FMS30B-18s</t>
  </si>
  <si>
    <t>FMS29-18s</t>
  </si>
  <si>
    <t>FMS33-18s</t>
  </si>
  <si>
    <t>FMS44-18s</t>
  </si>
  <si>
    <t>FMS42-18s</t>
  </si>
  <si>
    <t>FMS51-18s</t>
  </si>
  <si>
    <t>FMS39-18s</t>
  </si>
  <si>
    <t>FMS37-18s</t>
  </si>
  <si>
    <t>FMS48-18s</t>
  </si>
  <si>
    <t>FMS58-18s</t>
  </si>
  <si>
    <t>FMS62-18s</t>
  </si>
  <si>
    <t>FMS61-18s</t>
  </si>
  <si>
    <t>FMS60-18s</t>
  </si>
  <si>
    <t>FMS63-18s</t>
  </si>
  <si>
    <t>FMS72-18s</t>
  </si>
  <si>
    <t>FMS71-18s</t>
  </si>
  <si>
    <t>FMS70B-18s</t>
  </si>
  <si>
    <t>FMS64-18s</t>
  </si>
  <si>
    <t>FMS68-18s</t>
  </si>
  <si>
    <t>FMS79B-18s</t>
  </si>
  <si>
    <t>FMS78-18s</t>
  </si>
  <si>
    <t>FMS67-18s</t>
  </si>
  <si>
    <t>FMS66-18s</t>
  </si>
  <si>
    <t>FMS77-18s</t>
  </si>
  <si>
    <t>FMS76-18s</t>
  </si>
  <si>
    <t>FMS65-18s</t>
  </si>
  <si>
    <t>FMS75-18s</t>
  </si>
  <si>
    <t>FMS74-18s</t>
  </si>
  <si>
    <t>FMS73-18s</t>
  </si>
  <si>
    <t>FMS64B-18s</t>
  </si>
  <si>
    <t>FMS90-18s</t>
  </si>
  <si>
    <t>FMS91-18s</t>
  </si>
  <si>
    <t>FMS92-18s</t>
  </si>
  <si>
    <t>FMS93-18s</t>
  </si>
  <si>
    <t>FMS94-18s</t>
  </si>
  <si>
    <t>FMS98-18s</t>
  </si>
  <si>
    <t>FMS100-18s</t>
  </si>
  <si>
    <t>FMS102-18s</t>
  </si>
  <si>
    <t>FMS103-18s</t>
  </si>
  <si>
    <t>FMS105-18s</t>
  </si>
  <si>
    <t>FMS106-18s</t>
  </si>
  <si>
    <t>FMS107-18s</t>
  </si>
  <si>
    <t>FMS108-18s</t>
  </si>
  <si>
    <t>FMS110-18s</t>
  </si>
  <si>
    <t>FMS114-18s</t>
  </si>
  <si>
    <t>FMS118-18s</t>
  </si>
  <si>
    <t>FMS123-18s</t>
  </si>
  <si>
    <t>FMS124-18s</t>
  </si>
  <si>
    <t>FMS126-18s</t>
  </si>
  <si>
    <t>FMS128-18s</t>
  </si>
  <si>
    <t>FMS127-18s</t>
  </si>
  <si>
    <t>FMS129-18s</t>
  </si>
  <si>
    <t>FMS132-18s</t>
  </si>
  <si>
    <t>FMS133-18s</t>
  </si>
  <si>
    <t>SPENCERA-18s</t>
  </si>
  <si>
    <t>SPENCERB-18s</t>
  </si>
  <si>
    <t>29_9A-18s</t>
  </si>
  <si>
    <t>29_9B-18s</t>
  </si>
  <si>
    <t>52_2A-18s</t>
  </si>
  <si>
    <t>52_2B-18s</t>
  </si>
  <si>
    <t>76A-18s</t>
  </si>
  <si>
    <t>76B-18s</t>
  </si>
  <si>
    <t>88_1A-18s</t>
  </si>
  <si>
    <t>88_1B-18s</t>
  </si>
  <si>
    <t>109_2A-18s</t>
  </si>
  <si>
    <t>109_2B-18s</t>
  </si>
  <si>
    <t>134_2A-18s</t>
  </si>
  <si>
    <t>134_2B-18s</t>
  </si>
  <si>
    <t>144A-18s</t>
  </si>
  <si>
    <t>144B-18s</t>
  </si>
  <si>
    <t>174_9A-18s</t>
  </si>
  <si>
    <t>174_9B-18s</t>
  </si>
  <si>
    <t>215A-18s</t>
  </si>
  <si>
    <t>215B-18s</t>
  </si>
  <si>
    <t>246A-18s</t>
  </si>
  <si>
    <t>246B-18s</t>
  </si>
  <si>
    <t>NANKOA-18s</t>
  </si>
  <si>
    <t>NANKOB-18s</t>
  </si>
  <si>
    <t>BRIGHTA-18s</t>
  </si>
  <si>
    <t>BRIGHTB-18s</t>
  </si>
  <si>
    <t>SHINUMOA-18s</t>
  </si>
  <si>
    <t>SHINUMOB-18s</t>
  </si>
  <si>
    <t>TAPEATSA-18s</t>
  </si>
  <si>
    <t>TAPEATSB-18s</t>
  </si>
  <si>
    <t>KANABA-18s</t>
  </si>
  <si>
    <t>KANABB-18s</t>
  </si>
  <si>
    <t>TSA-18s</t>
  </si>
  <si>
    <t>TSB-18s</t>
  </si>
  <si>
    <t>FMS</t>
  </si>
  <si>
    <t>HBC</t>
  </si>
  <si>
    <t>RBT</t>
  </si>
  <si>
    <t>Water</t>
  </si>
  <si>
    <t>Species</t>
  </si>
  <si>
    <t>Trib</t>
  </si>
  <si>
    <t>Mainstem</t>
  </si>
  <si>
    <t>Fish</t>
  </si>
  <si>
    <t>RM</t>
  </si>
  <si>
    <t>Col Date</t>
  </si>
  <si>
    <t>Type</t>
  </si>
  <si>
    <t>Forklen</t>
  </si>
  <si>
    <t>Weight</t>
  </si>
  <si>
    <t>Pit</t>
  </si>
  <si>
    <t>NA</t>
  </si>
  <si>
    <t>3DD.003BCA5CFB</t>
  </si>
  <si>
    <t>29_9A_04-20-22</t>
  </si>
  <si>
    <t>29_9B_04-20-22</t>
  </si>
  <si>
    <t>FMS1_04-20-22</t>
  </si>
  <si>
    <t>FMS2_04-20-22</t>
  </si>
  <si>
    <t>FMS11_04-21-22</t>
  </si>
  <si>
    <t>FMS10_04-21-22</t>
  </si>
  <si>
    <t>FMS8_04-21-22</t>
  </si>
  <si>
    <t>FMS5_04-21-22</t>
  </si>
  <si>
    <t>FMS14_04-21-22</t>
  </si>
  <si>
    <t>FMS13_04-21-22</t>
  </si>
  <si>
    <t>52_2A_04-21-22</t>
  </si>
  <si>
    <t>52_2B_04-21-22</t>
  </si>
  <si>
    <t>NANKOA_04-21-22</t>
  </si>
  <si>
    <t>NANKOB_04-21-22</t>
  </si>
  <si>
    <t>FMS12_04-21-22</t>
  </si>
  <si>
    <t>76A_04-22-22</t>
  </si>
  <si>
    <t>76B_04-22-22</t>
  </si>
  <si>
    <t>FMS52_04-22-22</t>
  </si>
  <si>
    <t>FMS54_04-22-22</t>
  </si>
  <si>
    <t>FMS44_04-22-22</t>
  </si>
  <si>
    <t>FMS42_04-22-22</t>
  </si>
  <si>
    <t>FMS51_04-22-22</t>
  </si>
  <si>
    <t>FMS39_04-22-22</t>
  </si>
  <si>
    <t>FMS48_04-22-22</t>
  </si>
  <si>
    <t>FMS58_04-22-22</t>
  </si>
  <si>
    <t>FMS23_04-22-22</t>
  </si>
  <si>
    <t>FMS30_04-22-22</t>
  </si>
  <si>
    <t>FMS31_04-22-22</t>
  </si>
  <si>
    <t>FMS35_04-22-22</t>
  </si>
  <si>
    <t>FMS20_04-22-22</t>
  </si>
  <si>
    <t>FMS29_04-22-22</t>
  </si>
  <si>
    <t>FMS33_04-22-22</t>
  </si>
  <si>
    <t>FMS37_04-22-22</t>
  </si>
  <si>
    <t>BRIGHTA_04-22-22</t>
  </si>
  <si>
    <t>BRIGHTB_04-22-22</t>
  </si>
  <si>
    <t>88_1A_04-23-22</t>
  </si>
  <si>
    <t>88_1B_04-23-22</t>
  </si>
  <si>
    <t>FMS62_04-23-22</t>
  </si>
  <si>
    <t>FMS61_04-23-22</t>
  </si>
  <si>
    <t>FMS60_04-23-22</t>
  </si>
  <si>
    <t>FMS63_04-23-22</t>
  </si>
  <si>
    <t>FMS64_04-23-22</t>
  </si>
  <si>
    <t>FMS68_04-23-22</t>
  </si>
  <si>
    <t>FMS67_04-23-22</t>
  </si>
  <si>
    <t>FMS66_04-23-22</t>
  </si>
  <si>
    <t>FMS65_04-23-22</t>
  </si>
  <si>
    <t>FMS70_04-24-22</t>
  </si>
  <si>
    <t>FMS79_04-24-22</t>
  </si>
  <si>
    <t>FMS72_04-24-22</t>
  </si>
  <si>
    <t>FMS71_04-24-22</t>
  </si>
  <si>
    <t>FMS78_04-24-22</t>
  </si>
  <si>
    <t>FMS77_04-24-22</t>
  </si>
  <si>
    <t>FMS76_04-24-22</t>
  </si>
  <si>
    <t>FMS75_04-24-22</t>
  </si>
  <si>
    <t>FMS74_04-24-22</t>
  </si>
  <si>
    <t>FMS73_04-24-22</t>
  </si>
  <si>
    <t>109_2A_04-24-22</t>
  </si>
  <si>
    <t>109_2B_04-24-22</t>
  </si>
  <si>
    <t>SHINUMOA_04-24-22</t>
  </si>
  <si>
    <t>SHINUMOB_04-24-22</t>
  </si>
  <si>
    <t>FMS80_04-25-22</t>
  </si>
  <si>
    <t>FMS81_04-25-22</t>
  </si>
  <si>
    <t>FMS83_04-25-22</t>
  </si>
  <si>
    <t>FMS84_04-25-22</t>
  </si>
  <si>
    <t>FMS86_04-25-22</t>
  </si>
  <si>
    <t>FMS87_04-25-22</t>
  </si>
  <si>
    <t>FMS88_04-25-22</t>
  </si>
  <si>
    <t>FMS89_04-25-22</t>
  </si>
  <si>
    <t>134_2A_04-25-22</t>
  </si>
  <si>
    <t>134_2B_04-25-22</t>
  </si>
  <si>
    <t>TAPEATSA_04-25-22</t>
  </si>
  <si>
    <t>TAPEATSB_04-25-22</t>
  </si>
  <si>
    <t>144A_04-25-22</t>
  </si>
  <si>
    <t>144B_04-25-22</t>
  </si>
  <si>
    <t>KANABA_04-25-22</t>
  </si>
  <si>
    <t>KANABB_04-25-22</t>
  </si>
  <si>
    <t>FMS90_04-26-22</t>
  </si>
  <si>
    <t>FMS91_04-26-22</t>
  </si>
  <si>
    <t>FMS92_04-26-22</t>
  </si>
  <si>
    <t>FMS93_04-26-22</t>
  </si>
  <si>
    <t>FMS94_04-26-22</t>
  </si>
  <si>
    <t>FMS98_04-26-22</t>
  </si>
  <si>
    <t>174_9A_04-26-22</t>
  </si>
  <si>
    <t>174_9B_04-26-22</t>
  </si>
  <si>
    <t>FMS101_04-27-22</t>
  </si>
  <si>
    <t>FMS104_04-27-22</t>
  </si>
  <si>
    <t>FMS109_04-27-22</t>
  </si>
  <si>
    <t>RBT2_04-27-22</t>
  </si>
  <si>
    <t>RBT1_04-27-22</t>
  </si>
  <si>
    <t>FMS100_04-27-22</t>
  </si>
  <si>
    <t>FMS102_04-27-22</t>
  </si>
  <si>
    <t>FMS103_04-27-22</t>
  </si>
  <si>
    <t>FMS105_04-27-22</t>
  </si>
  <si>
    <t>FMS106_04-27-22</t>
  </si>
  <si>
    <t>FMS107_04-27-22</t>
  </si>
  <si>
    <t>FMS108_04-27-22</t>
  </si>
  <si>
    <t>FMS110_04-27-22</t>
  </si>
  <si>
    <t>FMS116_04-28-22</t>
  </si>
  <si>
    <t>HBC8_04-28-22</t>
  </si>
  <si>
    <t>HBC11_04-28-22</t>
  </si>
  <si>
    <t>HBC5_04-28-22</t>
  </si>
  <si>
    <t>HBC6_04-28-22</t>
  </si>
  <si>
    <t>HBC7_04-28-22</t>
  </si>
  <si>
    <t>FMS114_04-28-22</t>
  </si>
  <si>
    <t>215A_04-28-22</t>
  </si>
  <si>
    <t>215B_04-28-22</t>
  </si>
  <si>
    <t>TSA_04-28-22</t>
  </si>
  <si>
    <t>TSB_04-28-22</t>
  </si>
  <si>
    <t>SPENCERA_04-28-22</t>
  </si>
  <si>
    <t>SPENCERB_04-28-22</t>
  </si>
  <si>
    <t>246A_04-28-22</t>
  </si>
  <si>
    <t>246B_04-28-22</t>
  </si>
  <si>
    <t>FMS118_04-28-22</t>
  </si>
  <si>
    <t>FMS130_04-29-22</t>
  </si>
  <si>
    <t>HBC27_04-29-22</t>
  </si>
  <si>
    <t>HBC18_04-29-22</t>
  </si>
  <si>
    <t>HBC32_04-29-22</t>
  </si>
  <si>
    <t>HBC30_04-29-22</t>
  </si>
  <si>
    <t>HBC26_04-29-22</t>
  </si>
  <si>
    <t>HBC15_04-29-22</t>
  </si>
  <si>
    <t>FMS123_04-29-22</t>
  </si>
  <si>
    <t>FMS124_04-29-22</t>
  </si>
  <si>
    <t>FMS126_04-29-22</t>
  </si>
  <si>
    <t>FMS128_04-29-22</t>
  </si>
  <si>
    <t>FMS127_04-29-22</t>
  </si>
  <si>
    <t>FMS129_04-29-22</t>
  </si>
  <si>
    <t>FMS132_04-29-22</t>
  </si>
  <si>
    <t>FMS133_04-29-22</t>
  </si>
  <si>
    <t>FMS122_04-29-22</t>
  </si>
  <si>
    <t>FMS109B_01-00-00</t>
  </si>
  <si>
    <t>LCRFMS3CA7_01-00-00</t>
  </si>
  <si>
    <t>LCRHBCF415_01-00-00</t>
  </si>
  <si>
    <t>LCRHBC2532_01-00-00</t>
  </si>
  <si>
    <t>LCRFMSA975_01-00-00</t>
  </si>
  <si>
    <t>LCRHBC9710_01-00-00</t>
  </si>
  <si>
    <t>LCRFMS15B5_01-00-00</t>
  </si>
  <si>
    <t>LCRHBCAEBC_01-00-00</t>
  </si>
  <si>
    <t>LCRFMS15F1_01-00-00</t>
  </si>
  <si>
    <t>LCRHBC15C9_01-00-00</t>
  </si>
  <si>
    <t>LCRHBC3BD1_01-00-00</t>
  </si>
  <si>
    <t>HBC27B_01-00-00</t>
  </si>
  <si>
    <t>FMS23B_01-00-00</t>
  </si>
  <si>
    <t>FMS31B_01-00-00</t>
  </si>
  <si>
    <t>FMS30B_01-00-00</t>
  </si>
  <si>
    <t>FMS70B_01-00-00</t>
  </si>
  <si>
    <t>FMS79B_01-00-00</t>
  </si>
  <si>
    <t>FMS64B_01-00-00</t>
  </si>
  <si>
    <t>lane1-s267-index-ATGATGACCCGT-29_9A-18s_S267</t>
  </si>
  <si>
    <t>lane1-s268-index-ATCAGAACCTCG-29_9B-18s_S268</t>
  </si>
  <si>
    <t>lane1-s150-index-AATCAGTCTCGT-FMS1-18s_S150</t>
  </si>
  <si>
    <t>lane1-s151-index-ACCACATACATC-FMS2-18s_S151</t>
  </si>
  <si>
    <t>lane1-s199-index-AATGCCTCAACT-FMS11-18s_S199</t>
  </si>
  <si>
    <t>lane1-s200-index-TGAGCCGGAATC-FMS10-18s_S200</t>
  </si>
  <si>
    <t>lane1-s201-index-CTAGATTTGCCA-FMS8-18s_S201</t>
  </si>
  <si>
    <t>lane1-s202-index-GAATAGAGCCAA-FMS5-18s_S202</t>
  </si>
  <si>
    <t>lane1-s205-index-TTAGGGCTCGTA-FMS14-18s_S205</t>
  </si>
  <si>
    <t>lane1-s206-index-ACGCCACGAATG-FMS13-18s_S206</t>
  </si>
  <si>
    <t>lane1-s269-index-GTTACTGGGTGG-52_2A-18s_S269</t>
  </si>
  <si>
    <t>lane1-s270-index-CCTTGTGCCTTG-52_2B-18s_S270</t>
  </si>
  <si>
    <t>lane1-s287-index-TCCAATAGCGTG-NANKOA-18s_S287</t>
  </si>
  <si>
    <t>lane1-s288-index-GATTAGCACTCT-NANKOB-18s_S288</t>
  </si>
  <si>
    <t>lane1-s207-index-GGTGTCTATTGT-FMS12-18s_S207</t>
  </si>
  <si>
    <t>lane1-s271-index-TAGTTAACGTCC-76A-18s_S271</t>
  </si>
  <si>
    <t>lane1-s272-index-TCGGTTGGTACA-76B-18s_S272</t>
  </si>
  <si>
    <t>lane1-s160-index-ATCCCGAATTTG-FMS52-18s_S160</t>
  </si>
  <si>
    <t>lane1-s195-index-CTAACCTCCGCT-FMS54-18s_S195</t>
  </si>
  <si>
    <t>lane1-s212-index-GGATGGTGTTGC-FMS44-18s_S212</t>
  </si>
  <si>
    <t>lane1-s213-index-TCTAGCGTAGTG-FMS42-18s_S213</t>
  </si>
  <si>
    <t>lane1-s214-index-CGGGTTTGACGA-FMS51-18s_S214</t>
  </si>
  <si>
    <t>lane1-s215-index-GTCAATTGACCG-FMS39-18s_S215</t>
  </si>
  <si>
    <t>lane1-s217-index-AGGCATCTTACG-FMS48-18s_S217</t>
  </si>
  <si>
    <t>lane1-s218-index-GAAGAAGCGGTA-FMS58-18s_S218</t>
  </si>
  <si>
    <t>lane1-s152-index-GACTTTCCCTCG-FMS23-18s_S152</t>
  </si>
  <si>
    <t>lane1-s153-index-TCTGTTGCTCTC-FMS30-18s_S153</t>
  </si>
  <si>
    <t>lane1-s154-index-ATTCCTGTGAGT-FMS31-18s_S154</t>
  </si>
  <si>
    <t>lane1-s155-index-GACACATTTCTG-FMS35-18s_S155</t>
  </si>
  <si>
    <t>lane1-s204-index-AGCTGTTGTTTG-FMS20-18s_S204</t>
  </si>
  <si>
    <t>lane1-s210-index-GTACGTGGGATC-FMS29-18s_S210</t>
  </si>
  <si>
    <t>lane1-s211-index-TCCGACACAATT-FMS33-18s_S211</t>
  </si>
  <si>
    <t>lane1-s216-index-GAACTAGTCACC-FMS37-18s_S216</t>
  </si>
  <si>
    <t>lane1-s289-index-GCCTTAAGCGAT-BRIGHTA-18s_S289</t>
  </si>
  <si>
    <t>lane1-s290-index-ATGGCAGCTCTA-BRIGHTB-18s_S290</t>
  </si>
  <si>
    <t>lane1-s273-index-GATCTCATAGGC-88_1A-18s_S273</t>
  </si>
  <si>
    <t>lane1-s274-index-GGTATGACTCAC-88_1B-18s_S274</t>
  </si>
  <si>
    <t>lane1-s219-index-CCAGTGTATGCA-FMS62-18s_S219</t>
  </si>
  <si>
    <t>lane1-s220-index-AGCCGGCACATA-FMS61-18s_S220</t>
  </si>
  <si>
    <t>lane1-s221-index-AATGTCCGTGAC-FMS60-18s_S221</t>
  </si>
  <si>
    <t>lane1-s222-index-TCTACGGAGAGC-FMS63-18s_S222</t>
  </si>
  <si>
    <t>lane1-s226-index-TGTTATCGCACA-FMS64-18s_S226</t>
  </si>
  <si>
    <t>lane1-s227-index-CCTCGTTCGACT-FMS68-18s_S227</t>
  </si>
  <si>
    <t>lane1-s230-index-CTAGCGAACATC-FMS67-18s_S230</t>
  </si>
  <si>
    <t>lane1-s231-index-GAATCTTCGAGC-FMS66-18s_S231</t>
  </si>
  <si>
    <t>lane1-s234-index-TCGTCGATAATC-FMS65-18s_S234</t>
  </si>
  <si>
    <t>lane1-s156-index-CTTCGGCAGAAT-FMS70-18s_S156</t>
  </si>
  <si>
    <t>lane1-s157-index-CACGGTTGTGAG-FMS79-18s_S157</t>
  </si>
  <si>
    <t>lane1-s223-index-ATGAGACTCCAC-FMS72-18s_S223</t>
  </si>
  <si>
    <t>lane1-s224-index-GACGGAACCCAT-FMS71-18s_S224</t>
  </si>
  <si>
    <t>lane1-s229-index-CCATACATAGCT-FMS78-18s_S229</t>
  </si>
  <si>
    <t>lane1-s232-index-TGGCACCGATTA-FMS77-18s_S232</t>
  </si>
  <si>
    <t>lane1-s233-index-TCCCAGAACAAC-FMS76-18s_S233</t>
  </si>
  <si>
    <t>lane1-s235-index-TGAGTCACTGGT-FMS75-18s_S235</t>
  </si>
  <si>
    <t>lane1-s236-index-CCAAGTCTTACA-FMS74-18s_S236</t>
  </si>
  <si>
    <t>lane1-s237-index-AAGAGATGTCGA-FMS73-18s_S237</t>
  </si>
  <si>
    <t>lane1-s275-index-GGAAAGTCGAAG-109_2A-18s_S275</t>
  </si>
  <si>
    <t>lane1-s276-index-TCCACAGGAGTT-109_2B-18s_S276</t>
  </si>
  <si>
    <t>lane1-s291-index-TAACTTGCGGAC-SHINUMOA-18s_S291</t>
  </si>
  <si>
    <t>lane1-s292-index-CGCCAAATAACC-SHINUMOB-18s_S292</t>
  </si>
  <si>
    <t>lane1-s158-index-AATCCGTACAGC-FMS80-18s_S158</t>
  </si>
  <si>
    <t>lane1-s159-index-TACACGATCTAC-FMS81-18s_S159</t>
  </si>
  <si>
    <t>lane1-s161-index-TACAGATGGCTC-FMS83-18s_S161</t>
  </si>
  <si>
    <t>lane1-s162-index-GAGGCTCATCAT-FMS84-18s_S162</t>
  </si>
  <si>
    <t>lane1-s163-index-GAAGTTGGAAGT-FMS86-18s_S163</t>
  </si>
  <si>
    <t>lane1-s164-index-ACGGGACATGCT-FMS87-18s_S164</t>
  </si>
  <si>
    <t>lane1-s165-index-GAGGAATAGCAG-FMS88-18s_S165</t>
  </si>
  <si>
    <t>lane1-s166-index-ACACCTGGTGAT-FMS89-18s_S166</t>
  </si>
  <si>
    <t>lane1-s277-index-TCATCGCGATAT-134_2A-18s_S277</t>
  </si>
  <si>
    <t>lane1-s278-index-GACTTATAGGCC-134_2B-18s_S278</t>
  </si>
  <si>
    <t>lane1-s293-index-TCAAGGCATCGG-TAPEATSA-18s_S293</t>
  </si>
  <si>
    <t>lane1-s294-index-TTCGCGTGAAAC-TAPEATSB-18s_S294</t>
  </si>
  <si>
    <t>lane1-s279-index-ACGCAACTGCTA-144A-18s_S279</t>
  </si>
  <si>
    <t>lane1-s280-index-ACCCTGTACCCT-144B-18s_S280</t>
  </si>
  <si>
    <t>lane1-s295-index-GGAAGTGAAGTT-KANABA-18s_S295</t>
  </si>
  <si>
    <t>lane1-s296-index-ATGACCATCGTG-KANABB-18s_S296</t>
  </si>
  <si>
    <t>lane1-s239-index-TGGCAGTTTGTT-FMS90-18s_S239</t>
  </si>
  <si>
    <t>lane1-s240-index-CAATTGTGCACG-FMS91-18s_S240</t>
  </si>
  <si>
    <t>lane1-s241-index-AAGTTCGCGCTA-FMS92-18s_S241</t>
  </si>
  <si>
    <t>lane1-s242-index-TACTTCGCTCGC-FMS93-18s_S242</t>
  </si>
  <si>
    <t>lane1-s243-index-ATACCTTCGGTA-FMS94-18s_S243</t>
  </si>
  <si>
    <t>lane1-s244-index-CAGATTTCGGTG-FMS98-18s_S244</t>
  </si>
  <si>
    <t>lane1-s281-index-GCCATAGGTTTG-174_9A-18s_S281</t>
  </si>
  <si>
    <t>lane1-s282-index-CAGTAACGGCCA-174_9B-18s_S282</t>
  </si>
  <si>
    <t>lane1-s167-index-GCACACACGTTA-FMS101-18s_S167</t>
  </si>
  <si>
    <t>lane1-s168-index-GTTGGTCAATCT-FMS104-18s_S168</t>
  </si>
  <si>
    <t>lane1-s169-index-ACGTGTACCCAA-FMS109-18s_S169</t>
  </si>
  <si>
    <t>lane1-s188-index-GGATCGCAGATC-RBT2-18s_S188</t>
  </si>
  <si>
    <t>lane1-s189-index-TCACGGGAGTTG-RBT1-18s_S189</t>
  </si>
  <si>
    <t>lane1-s245-index-TGTCAAGTCGTG-FMS100-18s_S245</t>
  </si>
  <si>
    <t>lane1-s246-index-TTCTCCGTGTCG-FMS102-18s_S246</t>
  </si>
  <si>
    <t>lane1-s247-index-CGCGTAACTGTA-FMS103-18s_S247</t>
  </si>
  <si>
    <t>lane1-s248-index-GAACTTAGGCCG-FMS105-18s_S248</t>
  </si>
  <si>
    <t>lane1-s249-index-GGTGCGTGTATG-FMS106-18s_S249</t>
  </si>
  <si>
    <t>lane1-s250-index-AGAAGTCCCTGG-FMS107-18s_S250</t>
  </si>
  <si>
    <t>lane1-s251-index-TGAGTGGAATGA-FMS108-18s_S251</t>
  </si>
  <si>
    <t>lane1-s252-index-AGTTCTACGTCA-FMS110-18s_S252</t>
  </si>
  <si>
    <t>lane1-s171-index-TTCCTAGGTGAG-FMS116-18s_S171</t>
  </si>
  <si>
    <t>lane1-s174-index-TATCGTTGACCA-HBC8-18s_S174</t>
  </si>
  <si>
    <t>lane1-s175-index-CACGCCATAATG-HBC11-18s_S175</t>
  </si>
  <si>
    <t>lane1-s196-index-ATTAGTTCGCGT-HBC5-18s_S196</t>
  </si>
  <si>
    <t>lane1-s197-index-CTGCTAACGCAA-HBC6-18s_S197</t>
  </si>
  <si>
    <t>lane1-s198-index-TCCGAATTCACA-HBC7-18s_S198</t>
  </si>
  <si>
    <t>lane1-s253-index-TAAGCCTCCAAG-FMS114-18s_S253</t>
  </si>
  <si>
    <t>lane1-s283-index-GGTTCTTATGAC-215A-18s_S283</t>
  </si>
  <si>
    <t>lane1-s284-index-CTACGACCATTA-215B-18s_S284</t>
  </si>
  <si>
    <t>lane1-s297-index-TCGTTGGATGGT-TSA-18s_S297</t>
  </si>
  <si>
    <t>lane1-s298-index-TTGCCACTAGAT-TSB-18s_S298</t>
  </si>
  <si>
    <t>lane1-s265-index-GTGTTTGGTCGA-SPENCERA-18s_S265</t>
  </si>
  <si>
    <t>lane1-s266-index-GAAGGAAGCAGG-SPENCERB-18s_S266</t>
  </si>
  <si>
    <t>lane1-s285-index-AGATTACCGGCG-246A-18s_S285</t>
  </si>
  <si>
    <t>lane1-s286-index-GCATGAAATGGA-246B-18s_S286</t>
  </si>
  <si>
    <t>lane1-s254-index-TGTCATAGGTTC-FMS118-18s_S254</t>
  </si>
  <si>
    <t>lane1-s173-index-CAGCGGTGACAT-FMS130-18s_S173</t>
  </si>
  <si>
    <t>lane1-s176-index-TAGCTCGTAACT-HBC27-18s_S176</t>
  </si>
  <si>
    <t>lane1-s187-index-AGGCTACACGAC-HBC18-18s_S187</t>
  </si>
  <si>
    <t>lane1-s190-index-GTCTAATTCCGA-HBC32-18s_S190</t>
  </si>
  <si>
    <t>lane1-s191-index-CGCAGCGGTATA-HBC30-18s_S191</t>
  </si>
  <si>
    <t>lane1-s193-index-ACATTCAGCGCA-HBC26-18s_S193</t>
  </si>
  <si>
    <t>lane1-s194-index-CCACCTACTCCA-HBC15-18s_S194</t>
  </si>
  <si>
    <t>lane1-s256-index-GATGTGAGCGCT-FMS123-18s_S256</t>
  </si>
  <si>
    <t>lane1-s257-index-CTTGACTGAGGT-FMS124-18s_S257</t>
  </si>
  <si>
    <t>lane1-s258-index-CGCAAGGATTGC-FMS126-18s_S258</t>
  </si>
  <si>
    <t>lane1-s259-index-TCGTGATGTGAC-FMS128-18s_S259</t>
  </si>
  <si>
    <t>lane1-s260-index-TAGCCGGCATAG-FMS127-18s_S260</t>
  </si>
  <si>
    <t>lane1-s261-index-GTGGAACCACGT-FMS129-18s_S261</t>
  </si>
  <si>
    <t>lane1-s262-index-TATTACCGGCAT-FMS130-18s_S262</t>
  </si>
  <si>
    <t>lane1-s263-index-GATCCGACACTA-FMS132-18s_S263</t>
  </si>
  <si>
    <t>lane1-s264-index-GGTCAGCTTAAC-FMS133-18s_S264</t>
  </si>
  <si>
    <t>lane1-s180-index-AACACAAGGAGT-FMS122-18s_S180</t>
  </si>
  <si>
    <t>lane1-s255-index-TACTAGGGCTTG-FMS122-18s_S255</t>
  </si>
  <si>
    <t>lane1-s170-index-TCCTCTGTCGAC-FMS109B-18s_S170</t>
  </si>
  <si>
    <t>lane1-s172-index-GTCATATCGTAC-LCRFMS3CA7-18s_S172</t>
  </si>
  <si>
    <t>lane1-s177-index-TAAACCGCGTGT-LCRHBCF415-18s_S177</t>
  </si>
  <si>
    <t>lane1-s178-index-CTATTTGCGACA-LCRHBC2532-18s_S178</t>
  </si>
  <si>
    <t>lane1-s179-index-GCACGACAACAC-LCRFMSA975-18s_S179</t>
  </si>
  <si>
    <t>lane1-s181-index-ATCGGCGTTACA-LCRHBC9710-18s_S181</t>
  </si>
  <si>
    <t>lane1-s182-index-TTACTGTGCGAT-LCRFMS15B5-18s_S182</t>
  </si>
  <si>
    <t>lane1-s183-index-AGTTCCCGAGTA-LCRHBCAEBC-18s_S183</t>
  </si>
  <si>
    <t>lane1-s184-index-CAGTGCATATGC-LCRFMS15F1-18s_S184</t>
  </si>
  <si>
    <t>lane1-s185-index-ATGTCGAGAGAA-LCRHBC15C9-18s_S185</t>
  </si>
  <si>
    <t>lane1-s186-index-AGTAGAGGGATG-LCRHBC3BD1-18s_S186</t>
  </si>
  <si>
    <t>lane1-s192-index-CTTGTGTCGATA-HBC27B-18s_S192</t>
  </si>
  <si>
    <t>lane1-s203-index-GTATGCGCTGTA-FMS23B-18s_S203</t>
  </si>
  <si>
    <t>lane1-s208-index-GCGGCAATTACG-FMS31B-18s_S208</t>
  </si>
  <si>
    <t>lane1-s209-index-CGAGAAGAGAAC-FMS30B-18s_S209</t>
  </si>
  <si>
    <t>lane1-s225-index-CAGCTAGAACGC-FMS70B-18s_S225</t>
  </si>
  <si>
    <t>lane1-s228-index-TAGCGGATCACG-FMS79B-18s_S228</t>
  </si>
  <si>
    <t>lane1-s238-index-GACAGGAGATAG-FMS64B-18s_S238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</si>
</sst>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5427-613E-41AA-B706-0703E5D3C9B8}">
  <dimension ref="A1:M150"/>
  <sheetViews>
    <sheetView tabSelected="1" workbookViewId="0">
      <selection activeCell="A2" sqref="A2:A150"/>
    </sheetView>
  </sheetViews>
  <sheetFormatPr defaultRowHeight="14.5"/>
  <cols>
    <col min="1" max="1" width="45.7265625" bestFit="1" customWidth="1"/>
    <col min="2" max="2" width="14.90625" customWidth="1"/>
    <col min="3" max="3" width="14.36328125" customWidth="1"/>
    <col min="4" max="4" width="20.08984375" bestFit="1" customWidth="1"/>
    <col min="6" max="6" width="15.81640625" customWidth="1"/>
    <col min="8" max="8" width="12" customWidth="1"/>
    <col min="13" max="13" width="45.26953125" bestFit="1" customWidth="1"/>
    <col min="15" max="15" width="15.816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163</v>
      </c>
      <c r="F1" t="s">
        <v>3</v>
      </c>
      <c r="G1" t="s">
        <v>157</v>
      </c>
      <c r="H1" t="s">
        <v>162</v>
      </c>
      <c r="I1" t="s">
        <v>161</v>
      </c>
      <c r="J1" t="s">
        <v>164</v>
      </c>
      <c r="K1" t="s">
        <v>165</v>
      </c>
      <c r="L1" t="s">
        <v>166</v>
      </c>
    </row>
    <row r="2" spans="1:13">
      <c r="A2" t="s">
        <v>316</v>
      </c>
      <c r="B2" t="s">
        <v>5</v>
      </c>
      <c r="C2" t="s">
        <v>4</v>
      </c>
      <c r="D2" t="s">
        <v>169</v>
      </c>
      <c r="E2" t="s">
        <v>156</v>
      </c>
      <c r="F2" t="s">
        <v>121</v>
      </c>
      <c r="G2" t="s">
        <v>159</v>
      </c>
      <c r="H2" s="1">
        <v>44671</v>
      </c>
      <c r="I2">
        <v>29.9</v>
      </c>
      <c r="M2" s="2" t="str">
        <f>SUBSTITUTE(A2, "-", "_", LEN(A2) - LEN(SUBSTITUTE(A2, "-", "")))</f>
        <v>lane1-s267-index-ATGATGACCCGT-29_9A_18s_S267</v>
      </c>
    </row>
    <row r="3" spans="1:13">
      <c r="A3" t="s">
        <v>317</v>
      </c>
      <c r="B3" t="s">
        <v>5</v>
      </c>
      <c r="C3" t="s">
        <v>4</v>
      </c>
      <c r="D3" t="s">
        <v>170</v>
      </c>
      <c r="E3" t="s">
        <v>156</v>
      </c>
      <c r="F3" t="s">
        <v>122</v>
      </c>
      <c r="G3" t="s">
        <v>159</v>
      </c>
      <c r="H3" s="1">
        <v>44671</v>
      </c>
      <c r="I3">
        <v>29.9</v>
      </c>
      <c r="M3" s="2" t="str">
        <f t="shared" ref="M3:M66" si="0">SUBSTITUTE(A3, "-", "_", LEN(A3) - LEN(SUBSTITUTE(A3, "-", "")))</f>
        <v>lane1-s268-index-ATCAGAACCTCG-29_9B_18s_S268</v>
      </c>
    </row>
    <row r="4" spans="1:13">
      <c r="A4" t="s">
        <v>318</v>
      </c>
      <c r="B4" t="s">
        <v>5</v>
      </c>
      <c r="C4" t="s">
        <v>4</v>
      </c>
      <c r="D4" t="s">
        <v>171</v>
      </c>
      <c r="E4" t="s">
        <v>160</v>
      </c>
      <c r="F4" t="s">
        <v>6</v>
      </c>
      <c r="G4" t="s">
        <v>153</v>
      </c>
      <c r="H4" s="1">
        <v>44671</v>
      </c>
      <c r="I4">
        <v>31.1</v>
      </c>
      <c r="J4">
        <v>385</v>
      </c>
      <c r="K4" t="s">
        <v>167</v>
      </c>
      <c r="M4" s="2" t="str">
        <f t="shared" si="0"/>
        <v>lane1-s150-index-AATCAGTCTCGT-FMS1_18s_S150</v>
      </c>
    </row>
    <row r="5" spans="1:13">
      <c r="A5" t="s">
        <v>319</v>
      </c>
      <c r="B5" t="s">
        <v>5</v>
      </c>
      <c r="C5" t="s">
        <v>4</v>
      </c>
      <c r="D5" t="s">
        <v>172</v>
      </c>
      <c r="E5" t="s">
        <v>160</v>
      </c>
      <c r="F5" t="s">
        <v>7</v>
      </c>
      <c r="G5" t="s">
        <v>153</v>
      </c>
      <c r="H5" s="1">
        <v>44671</v>
      </c>
      <c r="I5">
        <v>31.1</v>
      </c>
      <c r="J5">
        <v>482</v>
      </c>
      <c r="K5" t="s">
        <v>167</v>
      </c>
      <c r="M5" s="2" t="str">
        <f t="shared" si="0"/>
        <v>lane1-s151-index-ACCACATACATC-FMS2_18s_S151</v>
      </c>
    </row>
    <row r="6" spans="1:13">
      <c r="A6" t="s">
        <v>320</v>
      </c>
      <c r="B6" t="s">
        <v>5</v>
      </c>
      <c r="C6" t="s">
        <v>4</v>
      </c>
      <c r="D6" t="s">
        <v>173</v>
      </c>
      <c r="E6" t="s">
        <v>160</v>
      </c>
      <c r="F6" t="s">
        <v>55</v>
      </c>
      <c r="G6" t="s">
        <v>153</v>
      </c>
      <c r="H6" s="1">
        <v>44672</v>
      </c>
      <c r="I6">
        <v>50</v>
      </c>
      <c r="J6">
        <v>340</v>
      </c>
      <c r="K6">
        <v>479</v>
      </c>
      <c r="M6" s="2" t="str">
        <f t="shared" si="0"/>
        <v>lane1-s199-index-AATGCCTCAACT-FMS11_18s_S199</v>
      </c>
    </row>
    <row r="7" spans="1:13">
      <c r="A7" t="s">
        <v>321</v>
      </c>
      <c r="B7" t="s">
        <v>5</v>
      </c>
      <c r="C7" t="s">
        <v>4</v>
      </c>
      <c r="D7" t="s">
        <v>174</v>
      </c>
      <c r="E7" t="s">
        <v>160</v>
      </c>
      <c r="F7" t="s">
        <v>56</v>
      </c>
      <c r="G7" t="s">
        <v>153</v>
      </c>
      <c r="H7" s="1">
        <v>44672</v>
      </c>
      <c r="I7">
        <v>50</v>
      </c>
      <c r="J7">
        <v>419</v>
      </c>
      <c r="K7">
        <v>715</v>
      </c>
      <c r="M7" s="2" t="str">
        <f t="shared" si="0"/>
        <v>lane1-s200-index-TGAGCCGGAATC-FMS10_18s_S200</v>
      </c>
    </row>
    <row r="8" spans="1:13">
      <c r="A8" t="s">
        <v>322</v>
      </c>
      <c r="B8" t="s">
        <v>5</v>
      </c>
      <c r="C8" t="s">
        <v>4</v>
      </c>
      <c r="D8" t="s">
        <v>175</v>
      </c>
      <c r="E8" t="s">
        <v>160</v>
      </c>
      <c r="F8" t="s">
        <v>57</v>
      </c>
      <c r="G8" t="s">
        <v>153</v>
      </c>
      <c r="H8" s="1">
        <v>44672</v>
      </c>
      <c r="I8">
        <v>50</v>
      </c>
      <c r="J8">
        <v>320</v>
      </c>
      <c r="K8">
        <v>405</v>
      </c>
      <c r="M8" s="2" t="str">
        <f t="shared" si="0"/>
        <v>lane1-s201-index-CTAGATTTGCCA-FMS8_18s_S201</v>
      </c>
    </row>
    <row r="9" spans="1:13">
      <c r="A9" t="s">
        <v>323</v>
      </c>
      <c r="B9" t="s">
        <v>5</v>
      </c>
      <c r="C9" t="s">
        <v>4</v>
      </c>
      <c r="D9" t="s">
        <v>176</v>
      </c>
      <c r="E9" t="s">
        <v>160</v>
      </c>
      <c r="F9" t="s">
        <v>58</v>
      </c>
      <c r="G9" t="s">
        <v>153</v>
      </c>
      <c r="H9" s="1">
        <v>44672</v>
      </c>
      <c r="I9">
        <v>50</v>
      </c>
      <c r="J9">
        <v>452</v>
      </c>
      <c r="M9" s="2" t="str">
        <f t="shared" si="0"/>
        <v>lane1-s202-index-GAATAGAGCCAA-FMS5_18s_S202</v>
      </c>
    </row>
    <row r="10" spans="1:13">
      <c r="A10" t="s">
        <v>324</v>
      </c>
      <c r="B10" t="s">
        <v>5</v>
      </c>
      <c r="C10" t="s">
        <v>4</v>
      </c>
      <c r="D10" t="s">
        <v>177</v>
      </c>
      <c r="E10" t="s">
        <v>160</v>
      </c>
      <c r="F10" t="s">
        <v>61</v>
      </c>
      <c r="G10" t="s">
        <v>153</v>
      </c>
      <c r="H10" s="1">
        <v>44672</v>
      </c>
      <c r="I10">
        <v>50</v>
      </c>
      <c r="J10">
        <v>468</v>
      </c>
      <c r="K10">
        <v>1064</v>
      </c>
      <c r="M10" s="2" t="str">
        <f t="shared" si="0"/>
        <v>lane1-s205-index-TTAGGGCTCGTA-FMS14_18s_S205</v>
      </c>
    </row>
    <row r="11" spans="1:13">
      <c r="A11" t="s">
        <v>325</v>
      </c>
      <c r="B11" t="s">
        <v>5</v>
      </c>
      <c r="C11" t="s">
        <v>4</v>
      </c>
      <c r="D11" t="s">
        <v>178</v>
      </c>
      <c r="E11" t="s">
        <v>160</v>
      </c>
      <c r="F11" t="s">
        <v>62</v>
      </c>
      <c r="G11" t="s">
        <v>153</v>
      </c>
      <c r="H11" s="1">
        <v>44672</v>
      </c>
      <c r="I11">
        <v>50</v>
      </c>
      <c r="J11">
        <v>490</v>
      </c>
      <c r="K11">
        <v>1290</v>
      </c>
      <c r="M11" s="2" t="str">
        <f t="shared" si="0"/>
        <v>lane1-s206-index-ACGCCACGAATG-FMS13_18s_S206</v>
      </c>
    </row>
    <row r="12" spans="1:13">
      <c r="A12" t="s">
        <v>326</v>
      </c>
      <c r="B12" t="s">
        <v>5</v>
      </c>
      <c r="C12" t="s">
        <v>4</v>
      </c>
      <c r="D12" t="s">
        <v>179</v>
      </c>
      <c r="E12" t="s">
        <v>156</v>
      </c>
      <c r="F12" t="s">
        <v>123</v>
      </c>
      <c r="G12" t="s">
        <v>159</v>
      </c>
      <c r="H12" s="1">
        <v>44672</v>
      </c>
      <c r="I12">
        <v>52</v>
      </c>
      <c r="M12" s="2" t="str">
        <f t="shared" si="0"/>
        <v>lane1-s269-index-GTTACTGGGTGG-52_2A_18s_S269</v>
      </c>
    </row>
    <row r="13" spans="1:13">
      <c r="A13" t="s">
        <v>327</v>
      </c>
      <c r="B13" t="s">
        <v>5</v>
      </c>
      <c r="C13" t="s">
        <v>4</v>
      </c>
      <c r="D13" t="s">
        <v>180</v>
      </c>
      <c r="E13" t="s">
        <v>156</v>
      </c>
      <c r="F13" t="s">
        <v>124</v>
      </c>
      <c r="G13" t="s">
        <v>159</v>
      </c>
      <c r="H13" s="1">
        <v>44672</v>
      </c>
      <c r="I13">
        <v>52</v>
      </c>
      <c r="M13" s="2" t="str">
        <f t="shared" si="0"/>
        <v>lane1-s270-index-CCTTGTGCCTTG-52_2B_18s_S270</v>
      </c>
    </row>
    <row r="14" spans="1:13">
      <c r="A14" t="s">
        <v>328</v>
      </c>
      <c r="B14" t="s">
        <v>5</v>
      </c>
      <c r="C14" t="s">
        <v>4</v>
      </c>
      <c r="D14" t="s">
        <v>181</v>
      </c>
      <c r="E14" t="s">
        <v>156</v>
      </c>
      <c r="F14" t="s">
        <v>141</v>
      </c>
      <c r="G14" t="s">
        <v>158</v>
      </c>
      <c r="H14" s="1">
        <v>44672</v>
      </c>
      <c r="I14">
        <v>52</v>
      </c>
      <c r="M14" s="2" t="str">
        <f t="shared" si="0"/>
        <v>lane1-s287-index-TCCAATAGCGTG-NANKOA_18s_S287</v>
      </c>
    </row>
    <row r="15" spans="1:13">
      <c r="A15" t="s">
        <v>329</v>
      </c>
      <c r="B15" t="s">
        <v>5</v>
      </c>
      <c r="C15" t="s">
        <v>4</v>
      </c>
      <c r="D15" t="s">
        <v>182</v>
      </c>
      <c r="E15" t="s">
        <v>156</v>
      </c>
      <c r="F15" t="s">
        <v>142</v>
      </c>
      <c r="G15" t="s">
        <v>158</v>
      </c>
      <c r="H15" s="1">
        <v>44672</v>
      </c>
      <c r="I15">
        <v>52</v>
      </c>
      <c r="M15" s="2" t="str">
        <f t="shared" si="0"/>
        <v>lane1-s288-index-GATTAGCACTCT-NANKOB_18s_S288</v>
      </c>
    </row>
    <row r="16" spans="1:13">
      <c r="A16" t="s">
        <v>330</v>
      </c>
      <c r="B16" t="s">
        <v>5</v>
      </c>
      <c r="C16" t="s">
        <v>4</v>
      </c>
      <c r="D16" t="s">
        <v>183</v>
      </c>
      <c r="E16" t="s">
        <v>160</v>
      </c>
      <c r="F16" t="s">
        <v>63</v>
      </c>
      <c r="G16" t="s">
        <v>153</v>
      </c>
      <c r="H16" s="1">
        <v>44672</v>
      </c>
      <c r="I16">
        <v>50</v>
      </c>
      <c r="J16">
        <v>300</v>
      </c>
      <c r="K16">
        <v>320</v>
      </c>
      <c r="M16" s="2" t="str">
        <f t="shared" si="0"/>
        <v>lane1-s207-index-GGTGTCTATTGT-FMS12_18s_S207</v>
      </c>
    </row>
    <row r="17" spans="1:13">
      <c r="A17" t="s">
        <v>331</v>
      </c>
      <c r="B17" t="s">
        <v>5</v>
      </c>
      <c r="C17" t="s">
        <v>4</v>
      </c>
      <c r="D17" t="s">
        <v>184</v>
      </c>
      <c r="E17" t="s">
        <v>156</v>
      </c>
      <c r="F17" t="s">
        <v>125</v>
      </c>
      <c r="G17" t="s">
        <v>159</v>
      </c>
      <c r="H17" s="1">
        <v>44673</v>
      </c>
      <c r="I17">
        <v>76</v>
      </c>
      <c r="M17" s="2" t="str">
        <f t="shared" si="0"/>
        <v>lane1-s271-index-TAGTTAACGTCC-76A_18s_S271</v>
      </c>
    </row>
    <row r="18" spans="1:13">
      <c r="A18" t="s">
        <v>332</v>
      </c>
      <c r="B18" t="s">
        <v>5</v>
      </c>
      <c r="C18" t="s">
        <v>4</v>
      </c>
      <c r="D18" t="s">
        <v>185</v>
      </c>
      <c r="E18" t="s">
        <v>156</v>
      </c>
      <c r="F18" t="s">
        <v>126</v>
      </c>
      <c r="G18" t="s">
        <v>159</v>
      </c>
      <c r="H18" s="1">
        <v>44673</v>
      </c>
      <c r="I18">
        <v>76</v>
      </c>
      <c r="M18" s="2" t="str">
        <f t="shared" si="0"/>
        <v>lane1-s272-index-TCGGTTGGTACA-76B_18s_S272</v>
      </c>
    </row>
    <row r="19" spans="1:13">
      <c r="A19" t="s">
        <v>333</v>
      </c>
      <c r="B19" t="s">
        <v>5</v>
      </c>
      <c r="C19" t="s">
        <v>4</v>
      </c>
      <c r="D19" t="s">
        <v>186</v>
      </c>
      <c r="E19" t="s">
        <v>160</v>
      </c>
      <c r="F19" t="s">
        <v>16</v>
      </c>
      <c r="G19" t="s">
        <v>153</v>
      </c>
      <c r="H19" s="1">
        <v>44673</v>
      </c>
      <c r="I19">
        <v>76.400000000000006</v>
      </c>
      <c r="M19" s="2" t="str">
        <f t="shared" si="0"/>
        <v>lane1-s160-index-ATCCCGAATTTG-FMS52_18s_S160</v>
      </c>
    </row>
    <row r="20" spans="1:13">
      <c r="A20" t="s">
        <v>334</v>
      </c>
      <c r="B20" t="s">
        <v>5</v>
      </c>
      <c r="C20" t="s">
        <v>4</v>
      </c>
      <c r="D20" t="s">
        <v>187</v>
      </c>
      <c r="E20" t="s">
        <v>160</v>
      </c>
      <c r="F20" t="s">
        <v>51</v>
      </c>
      <c r="G20" t="s">
        <v>153</v>
      </c>
      <c r="H20" s="1">
        <v>44673</v>
      </c>
      <c r="I20">
        <v>76.400000000000006</v>
      </c>
      <c r="M20" s="2" t="str">
        <f t="shared" si="0"/>
        <v>lane1-s195-index-CTAACCTCCGCT-FMS54_18s_S195</v>
      </c>
    </row>
    <row r="21" spans="1:13">
      <c r="A21" t="s">
        <v>335</v>
      </c>
      <c r="B21" t="s">
        <v>5</v>
      </c>
      <c r="C21" t="s">
        <v>4</v>
      </c>
      <c r="D21" t="s">
        <v>188</v>
      </c>
      <c r="E21" t="s">
        <v>160</v>
      </c>
      <c r="F21" t="s">
        <v>68</v>
      </c>
      <c r="G21" t="s">
        <v>153</v>
      </c>
      <c r="H21" s="1">
        <v>44673</v>
      </c>
      <c r="I21">
        <v>76.400000000000006</v>
      </c>
      <c r="J21">
        <v>355</v>
      </c>
      <c r="M21" s="2" t="str">
        <f t="shared" si="0"/>
        <v>lane1-s212-index-GGATGGTGTTGC-FMS44_18s_S212</v>
      </c>
    </row>
    <row r="22" spans="1:13">
      <c r="A22" t="s">
        <v>336</v>
      </c>
      <c r="B22" t="s">
        <v>5</v>
      </c>
      <c r="C22" t="s">
        <v>4</v>
      </c>
      <c r="D22" t="s">
        <v>189</v>
      </c>
      <c r="E22" t="s">
        <v>160</v>
      </c>
      <c r="F22" t="s">
        <v>69</v>
      </c>
      <c r="G22" t="s">
        <v>153</v>
      </c>
      <c r="H22" s="1">
        <v>44673</v>
      </c>
      <c r="I22">
        <v>76.400000000000006</v>
      </c>
      <c r="J22">
        <v>405</v>
      </c>
      <c r="M22" s="2" t="str">
        <f t="shared" si="0"/>
        <v>lane1-s213-index-TCTAGCGTAGTG-FMS42_18s_S213</v>
      </c>
    </row>
    <row r="23" spans="1:13">
      <c r="A23" t="s">
        <v>337</v>
      </c>
      <c r="B23" t="s">
        <v>5</v>
      </c>
      <c r="C23" t="s">
        <v>4</v>
      </c>
      <c r="D23" t="s">
        <v>190</v>
      </c>
      <c r="E23" t="s">
        <v>160</v>
      </c>
      <c r="F23" t="s">
        <v>70</v>
      </c>
      <c r="G23" t="s">
        <v>153</v>
      </c>
      <c r="H23" s="1">
        <v>44673</v>
      </c>
      <c r="I23">
        <v>76.400000000000006</v>
      </c>
      <c r="J23">
        <v>300</v>
      </c>
      <c r="M23" s="2" t="str">
        <f t="shared" si="0"/>
        <v>lane1-s214-index-CGGGTTTGACGA-FMS51_18s_S214</v>
      </c>
    </row>
    <row r="24" spans="1:13">
      <c r="A24" t="s">
        <v>338</v>
      </c>
      <c r="B24" t="s">
        <v>5</v>
      </c>
      <c r="C24" t="s">
        <v>4</v>
      </c>
      <c r="D24" t="s">
        <v>191</v>
      </c>
      <c r="E24" t="s">
        <v>160</v>
      </c>
      <c r="F24" t="s">
        <v>71</v>
      </c>
      <c r="G24" t="s">
        <v>153</v>
      </c>
      <c r="H24" s="1">
        <v>44673</v>
      </c>
      <c r="I24">
        <v>76.400000000000006</v>
      </c>
      <c r="J24">
        <v>445</v>
      </c>
      <c r="M24" s="2" t="str">
        <f t="shared" si="0"/>
        <v>lane1-s215-index-GTCAATTGACCG-FMS39_18s_S215</v>
      </c>
    </row>
    <row r="25" spans="1:13">
      <c r="A25" t="s">
        <v>339</v>
      </c>
      <c r="B25" t="s">
        <v>5</v>
      </c>
      <c r="C25" t="s">
        <v>4</v>
      </c>
      <c r="D25" t="s">
        <v>192</v>
      </c>
      <c r="E25" t="s">
        <v>160</v>
      </c>
      <c r="F25" t="s">
        <v>73</v>
      </c>
      <c r="G25" t="s">
        <v>153</v>
      </c>
      <c r="H25" s="1">
        <v>44673</v>
      </c>
      <c r="I25">
        <v>76.400000000000006</v>
      </c>
      <c r="J25">
        <v>357</v>
      </c>
      <c r="M25" s="2" t="str">
        <f t="shared" si="0"/>
        <v>lane1-s217-index-AGGCATCTTACG-FMS48_18s_S217</v>
      </c>
    </row>
    <row r="26" spans="1:13">
      <c r="A26" t="s">
        <v>340</v>
      </c>
      <c r="B26" t="s">
        <v>5</v>
      </c>
      <c r="C26" t="s">
        <v>4</v>
      </c>
      <c r="D26" t="s">
        <v>193</v>
      </c>
      <c r="E26" t="s">
        <v>160</v>
      </c>
      <c r="F26" t="s">
        <v>74</v>
      </c>
      <c r="G26" t="s">
        <v>153</v>
      </c>
      <c r="H26" s="1">
        <v>44673</v>
      </c>
      <c r="I26">
        <v>76.400000000000006</v>
      </c>
      <c r="J26">
        <v>342</v>
      </c>
      <c r="M26" s="2" t="str">
        <f t="shared" si="0"/>
        <v>lane1-s218-index-GAAGAAGCGGTA-FMS58_18s_S218</v>
      </c>
    </row>
    <row r="27" spans="1:13">
      <c r="A27" t="s">
        <v>341</v>
      </c>
      <c r="B27" t="s">
        <v>5</v>
      </c>
      <c r="C27" t="s">
        <v>4</v>
      </c>
      <c r="D27" t="s">
        <v>194</v>
      </c>
      <c r="E27" t="s">
        <v>160</v>
      </c>
      <c r="F27" t="s">
        <v>8</v>
      </c>
      <c r="G27" t="s">
        <v>153</v>
      </c>
      <c r="H27" s="1">
        <v>44673</v>
      </c>
      <c r="I27">
        <v>76.400000000000006</v>
      </c>
      <c r="J27">
        <v>358</v>
      </c>
      <c r="K27" t="s">
        <v>167</v>
      </c>
      <c r="M27" s="2" t="str">
        <f t="shared" si="0"/>
        <v>lane1-s152-index-GACTTTCCCTCG-FMS23_18s_S152</v>
      </c>
    </row>
    <row r="28" spans="1:13">
      <c r="A28" t="s">
        <v>342</v>
      </c>
      <c r="B28" t="s">
        <v>5</v>
      </c>
      <c r="C28" t="s">
        <v>4</v>
      </c>
      <c r="D28" t="s">
        <v>195</v>
      </c>
      <c r="E28" t="s">
        <v>160</v>
      </c>
      <c r="F28" t="s">
        <v>9</v>
      </c>
      <c r="G28" t="s">
        <v>153</v>
      </c>
      <c r="H28" s="1">
        <v>44673</v>
      </c>
      <c r="I28">
        <v>76.400000000000006</v>
      </c>
      <c r="J28">
        <v>450</v>
      </c>
      <c r="M28" s="2" t="str">
        <f t="shared" si="0"/>
        <v>lane1-s153-index-TCTGTTGCTCTC-FMS30_18s_S153</v>
      </c>
    </row>
    <row r="29" spans="1:13">
      <c r="A29" t="s">
        <v>343</v>
      </c>
      <c r="B29" t="s">
        <v>5</v>
      </c>
      <c r="C29" t="s">
        <v>4</v>
      </c>
      <c r="D29" t="s">
        <v>196</v>
      </c>
      <c r="E29" t="s">
        <v>160</v>
      </c>
      <c r="F29" t="s">
        <v>10</v>
      </c>
      <c r="G29" t="s">
        <v>153</v>
      </c>
      <c r="H29" s="1">
        <v>44673</v>
      </c>
      <c r="I29">
        <v>76.400000000000006</v>
      </c>
      <c r="J29">
        <v>480</v>
      </c>
      <c r="M29" s="2" t="str">
        <f t="shared" si="0"/>
        <v>lane1-s154-index-ATTCCTGTGAGT-FMS31_18s_S154</v>
      </c>
    </row>
    <row r="30" spans="1:13">
      <c r="A30" t="s">
        <v>344</v>
      </c>
      <c r="B30" t="s">
        <v>5</v>
      </c>
      <c r="C30" t="s">
        <v>4</v>
      </c>
      <c r="D30" t="s">
        <v>197</v>
      </c>
      <c r="E30" t="s">
        <v>160</v>
      </c>
      <c r="F30" t="s">
        <v>11</v>
      </c>
      <c r="G30" t="s">
        <v>153</v>
      </c>
      <c r="H30" s="1">
        <v>44673</v>
      </c>
      <c r="I30">
        <v>76.400000000000006</v>
      </c>
      <c r="J30">
        <v>366</v>
      </c>
      <c r="M30" s="2" t="str">
        <f t="shared" si="0"/>
        <v>lane1-s155-index-GACACATTTCTG-FMS35_18s_S155</v>
      </c>
    </row>
    <row r="31" spans="1:13">
      <c r="A31" t="s">
        <v>345</v>
      </c>
      <c r="B31" t="s">
        <v>5</v>
      </c>
      <c r="C31" t="s">
        <v>4</v>
      </c>
      <c r="D31" t="s">
        <v>198</v>
      </c>
      <c r="E31" t="s">
        <v>160</v>
      </c>
      <c r="F31" t="s">
        <v>60</v>
      </c>
      <c r="G31" t="s">
        <v>153</v>
      </c>
      <c r="H31" s="1">
        <v>44673</v>
      </c>
      <c r="I31">
        <v>76.400000000000006</v>
      </c>
      <c r="J31">
        <v>309</v>
      </c>
      <c r="M31" s="2" t="str">
        <f t="shared" si="0"/>
        <v>lane1-s204-index-AGCTGTTGTTTG-FMS20_18s_S204</v>
      </c>
    </row>
    <row r="32" spans="1:13">
      <c r="A32" t="s">
        <v>346</v>
      </c>
      <c r="B32" t="s">
        <v>5</v>
      </c>
      <c r="C32" t="s">
        <v>4</v>
      </c>
      <c r="D32" t="s">
        <v>199</v>
      </c>
      <c r="E32" t="s">
        <v>160</v>
      </c>
      <c r="F32" t="s">
        <v>66</v>
      </c>
      <c r="G32" t="s">
        <v>153</v>
      </c>
      <c r="H32" s="1">
        <v>44673</v>
      </c>
      <c r="I32">
        <v>76.400000000000006</v>
      </c>
      <c r="J32">
        <v>458</v>
      </c>
      <c r="M32" s="2" t="str">
        <f t="shared" si="0"/>
        <v>lane1-s210-index-GTACGTGGGATC-FMS29_18s_S210</v>
      </c>
    </row>
    <row r="33" spans="1:13">
      <c r="A33" t="s">
        <v>347</v>
      </c>
      <c r="B33" t="s">
        <v>5</v>
      </c>
      <c r="C33" t="s">
        <v>4</v>
      </c>
      <c r="D33" t="s">
        <v>200</v>
      </c>
      <c r="E33" t="s">
        <v>160</v>
      </c>
      <c r="F33" t="s">
        <v>67</v>
      </c>
      <c r="G33" t="s">
        <v>153</v>
      </c>
      <c r="H33" s="1">
        <v>44673</v>
      </c>
      <c r="I33">
        <v>76.400000000000006</v>
      </c>
      <c r="M33" s="2" t="str">
        <f t="shared" si="0"/>
        <v>lane1-s211-index-TCCGACACAATT-FMS33_18s_S211</v>
      </c>
    </row>
    <row r="34" spans="1:13">
      <c r="A34" t="s">
        <v>348</v>
      </c>
      <c r="B34" t="s">
        <v>5</v>
      </c>
      <c r="C34" t="s">
        <v>4</v>
      </c>
      <c r="D34" t="s">
        <v>201</v>
      </c>
      <c r="E34" t="s">
        <v>160</v>
      </c>
      <c r="F34" t="s">
        <v>72</v>
      </c>
      <c r="G34" t="s">
        <v>153</v>
      </c>
      <c r="H34" s="1">
        <v>44673</v>
      </c>
      <c r="I34">
        <v>76.400000000000006</v>
      </c>
      <c r="J34">
        <v>418</v>
      </c>
      <c r="M34" s="2" t="str">
        <f t="shared" si="0"/>
        <v>lane1-s216-index-GAACTAGTCACC-FMS37_18s_S216</v>
      </c>
    </row>
    <row r="35" spans="1:13">
      <c r="A35" t="s">
        <v>349</v>
      </c>
      <c r="B35" t="s">
        <v>5</v>
      </c>
      <c r="C35" t="s">
        <v>4</v>
      </c>
      <c r="D35" t="s">
        <v>202</v>
      </c>
      <c r="E35" t="s">
        <v>156</v>
      </c>
      <c r="F35" t="s">
        <v>143</v>
      </c>
      <c r="G35" t="s">
        <v>158</v>
      </c>
      <c r="H35" s="1">
        <v>44673</v>
      </c>
      <c r="I35">
        <v>88</v>
      </c>
      <c r="M35" s="2" t="str">
        <f t="shared" si="0"/>
        <v>lane1-s289-index-GCCTTAAGCGAT-BRIGHTA_18s_S289</v>
      </c>
    </row>
    <row r="36" spans="1:13">
      <c r="A36" t="s">
        <v>350</v>
      </c>
      <c r="B36" t="s">
        <v>5</v>
      </c>
      <c r="C36" t="s">
        <v>4</v>
      </c>
      <c r="D36" t="s">
        <v>203</v>
      </c>
      <c r="E36" t="s">
        <v>156</v>
      </c>
      <c r="F36" t="s">
        <v>144</v>
      </c>
      <c r="G36" t="s">
        <v>158</v>
      </c>
      <c r="H36" s="1">
        <v>44673</v>
      </c>
      <c r="I36">
        <v>88</v>
      </c>
      <c r="M36" s="2" t="str">
        <f t="shared" si="0"/>
        <v>lane1-s290-index-ATGGCAGCTCTA-BRIGHTB_18s_S290</v>
      </c>
    </row>
    <row r="37" spans="1:13">
      <c r="A37" t="s">
        <v>351</v>
      </c>
      <c r="B37" t="s">
        <v>5</v>
      </c>
      <c r="C37" t="s">
        <v>4</v>
      </c>
      <c r="D37" t="s">
        <v>204</v>
      </c>
      <c r="E37" t="s">
        <v>156</v>
      </c>
      <c r="F37" t="s">
        <v>127</v>
      </c>
      <c r="G37" t="s">
        <v>159</v>
      </c>
      <c r="H37" s="1">
        <v>44674</v>
      </c>
      <c r="I37">
        <v>88</v>
      </c>
      <c r="M37" s="2" t="str">
        <f t="shared" si="0"/>
        <v>lane1-s273-index-GATCTCATAGGC-88_1A_18s_S273</v>
      </c>
    </row>
    <row r="38" spans="1:13">
      <c r="A38" t="s">
        <v>352</v>
      </c>
      <c r="B38" t="s">
        <v>5</v>
      </c>
      <c r="C38" t="s">
        <v>4</v>
      </c>
      <c r="D38" t="s">
        <v>205</v>
      </c>
      <c r="E38" t="s">
        <v>156</v>
      </c>
      <c r="F38" t="s">
        <v>128</v>
      </c>
      <c r="G38" t="s">
        <v>159</v>
      </c>
      <c r="H38" s="1">
        <v>44674</v>
      </c>
      <c r="I38">
        <v>88</v>
      </c>
      <c r="M38" s="2" t="str">
        <f t="shared" si="0"/>
        <v>lane1-s274-index-GGTATGACTCAC-88_1B_18s_S274</v>
      </c>
    </row>
    <row r="39" spans="1:13">
      <c r="A39" t="s">
        <v>353</v>
      </c>
      <c r="B39" t="s">
        <v>5</v>
      </c>
      <c r="C39" t="s">
        <v>4</v>
      </c>
      <c r="D39" t="s">
        <v>206</v>
      </c>
      <c r="E39" t="s">
        <v>160</v>
      </c>
      <c r="F39" t="s">
        <v>75</v>
      </c>
      <c r="G39" t="s">
        <v>153</v>
      </c>
      <c r="H39" s="1">
        <v>44674</v>
      </c>
      <c r="I39">
        <v>89</v>
      </c>
      <c r="J39">
        <v>299</v>
      </c>
      <c r="K39">
        <v>262</v>
      </c>
      <c r="M39" s="2" t="str">
        <f t="shared" si="0"/>
        <v>lane1-s219-index-CCAGTGTATGCA-FMS62_18s_S219</v>
      </c>
    </row>
    <row r="40" spans="1:13">
      <c r="A40" t="s">
        <v>354</v>
      </c>
      <c r="B40" t="s">
        <v>5</v>
      </c>
      <c r="C40" t="s">
        <v>4</v>
      </c>
      <c r="D40" t="s">
        <v>207</v>
      </c>
      <c r="E40" t="s">
        <v>160</v>
      </c>
      <c r="F40" t="s">
        <v>76</v>
      </c>
      <c r="G40" t="s">
        <v>153</v>
      </c>
      <c r="H40" s="1">
        <v>44674</v>
      </c>
      <c r="I40">
        <v>89</v>
      </c>
      <c r="J40">
        <v>445</v>
      </c>
      <c r="K40">
        <v>880</v>
      </c>
      <c r="M40" s="2" t="str">
        <f t="shared" si="0"/>
        <v>lane1-s220-index-AGCCGGCACATA-FMS61_18s_S220</v>
      </c>
    </row>
    <row r="41" spans="1:13">
      <c r="A41" t="s">
        <v>355</v>
      </c>
      <c r="B41" t="s">
        <v>5</v>
      </c>
      <c r="C41" t="s">
        <v>4</v>
      </c>
      <c r="D41" t="s">
        <v>208</v>
      </c>
      <c r="E41" t="s">
        <v>160</v>
      </c>
      <c r="F41" t="s">
        <v>77</v>
      </c>
      <c r="G41" t="s">
        <v>153</v>
      </c>
      <c r="H41" s="1">
        <v>44674</v>
      </c>
      <c r="I41">
        <v>89</v>
      </c>
      <c r="J41">
        <v>430</v>
      </c>
      <c r="K41">
        <v>853</v>
      </c>
      <c r="M41" s="2" t="str">
        <f t="shared" si="0"/>
        <v>lane1-s221-index-AATGTCCGTGAC-FMS60_18s_S221</v>
      </c>
    </row>
    <row r="42" spans="1:13">
      <c r="A42" t="s">
        <v>356</v>
      </c>
      <c r="B42" t="s">
        <v>5</v>
      </c>
      <c r="C42" t="s">
        <v>4</v>
      </c>
      <c r="D42" t="s">
        <v>209</v>
      </c>
      <c r="E42" t="s">
        <v>160</v>
      </c>
      <c r="F42" t="s">
        <v>78</v>
      </c>
      <c r="G42" t="s">
        <v>153</v>
      </c>
      <c r="H42" s="1">
        <v>44674</v>
      </c>
      <c r="I42">
        <v>89</v>
      </c>
      <c r="J42">
        <v>282</v>
      </c>
      <c r="K42">
        <v>243</v>
      </c>
      <c r="M42" s="2" t="str">
        <f t="shared" si="0"/>
        <v>lane1-s222-index-TCTACGGAGAGC-FMS63_18s_S222</v>
      </c>
    </row>
    <row r="43" spans="1:13">
      <c r="A43" t="s">
        <v>357</v>
      </c>
      <c r="B43" t="s">
        <v>5</v>
      </c>
      <c r="C43" t="s">
        <v>4</v>
      </c>
      <c r="D43" t="s">
        <v>210</v>
      </c>
      <c r="E43" t="s">
        <v>160</v>
      </c>
      <c r="F43" t="s">
        <v>82</v>
      </c>
      <c r="G43" t="s">
        <v>153</v>
      </c>
      <c r="H43" s="1">
        <v>44674</v>
      </c>
      <c r="I43">
        <v>89</v>
      </c>
      <c r="J43">
        <v>304</v>
      </c>
      <c r="K43">
        <v>249</v>
      </c>
      <c r="M43" s="2" t="str">
        <f t="shared" si="0"/>
        <v>lane1-s226-index-TGTTATCGCACA-FMS64_18s_S226</v>
      </c>
    </row>
    <row r="44" spans="1:13">
      <c r="A44" t="s">
        <v>358</v>
      </c>
      <c r="B44" t="s">
        <v>5</v>
      </c>
      <c r="C44" t="s">
        <v>4</v>
      </c>
      <c r="D44" t="s">
        <v>211</v>
      </c>
      <c r="E44" t="s">
        <v>160</v>
      </c>
      <c r="F44" t="s">
        <v>83</v>
      </c>
      <c r="G44" t="s">
        <v>153</v>
      </c>
      <c r="H44" s="1">
        <v>44674</v>
      </c>
      <c r="I44">
        <v>89</v>
      </c>
      <c r="J44">
        <v>315</v>
      </c>
      <c r="K44">
        <v>300</v>
      </c>
      <c r="M44" s="2" t="str">
        <f t="shared" si="0"/>
        <v>lane1-s227-index-CCTCGTTCGACT-FMS68_18s_S227</v>
      </c>
    </row>
    <row r="45" spans="1:13">
      <c r="A45" t="s">
        <v>359</v>
      </c>
      <c r="B45" t="s">
        <v>5</v>
      </c>
      <c r="C45" t="s">
        <v>4</v>
      </c>
      <c r="D45" t="s">
        <v>212</v>
      </c>
      <c r="E45" t="s">
        <v>160</v>
      </c>
      <c r="F45" t="s">
        <v>86</v>
      </c>
      <c r="G45" t="s">
        <v>153</v>
      </c>
      <c r="H45" s="1">
        <v>44674</v>
      </c>
      <c r="I45">
        <v>89</v>
      </c>
      <c r="J45">
        <v>464</v>
      </c>
      <c r="K45">
        <v>979</v>
      </c>
      <c r="M45" s="2" t="str">
        <f t="shared" si="0"/>
        <v>lane1-s230-index-CTAGCGAACATC-FMS67_18s_S230</v>
      </c>
    </row>
    <row r="46" spans="1:13">
      <c r="A46" t="s">
        <v>360</v>
      </c>
      <c r="B46" t="s">
        <v>5</v>
      </c>
      <c r="C46" t="s">
        <v>4</v>
      </c>
      <c r="D46" t="s">
        <v>213</v>
      </c>
      <c r="E46" t="s">
        <v>160</v>
      </c>
      <c r="F46" t="s">
        <v>87</v>
      </c>
      <c r="G46" t="s">
        <v>153</v>
      </c>
      <c r="H46" s="1">
        <v>44674</v>
      </c>
      <c r="I46">
        <v>89</v>
      </c>
      <c r="J46">
        <v>364</v>
      </c>
      <c r="K46">
        <v>455</v>
      </c>
      <c r="M46" s="2" t="str">
        <f t="shared" si="0"/>
        <v>lane1-s231-index-GAATCTTCGAGC-FMS66_18s_S231</v>
      </c>
    </row>
    <row r="47" spans="1:13">
      <c r="A47" t="s">
        <v>361</v>
      </c>
      <c r="B47" t="s">
        <v>5</v>
      </c>
      <c r="C47" t="s">
        <v>4</v>
      </c>
      <c r="D47" t="s">
        <v>214</v>
      </c>
      <c r="E47" t="s">
        <v>160</v>
      </c>
      <c r="F47" t="s">
        <v>90</v>
      </c>
      <c r="G47" t="s">
        <v>153</v>
      </c>
      <c r="H47" s="1">
        <v>44674</v>
      </c>
      <c r="I47">
        <v>89</v>
      </c>
      <c r="J47">
        <v>367</v>
      </c>
      <c r="K47">
        <v>483</v>
      </c>
      <c r="M47" s="2" t="str">
        <f t="shared" si="0"/>
        <v>lane1-s234-index-TCGTCGATAATC-FMS65_18s_S234</v>
      </c>
    </row>
    <row r="48" spans="1:13">
      <c r="A48" t="s">
        <v>362</v>
      </c>
      <c r="B48" t="s">
        <v>5</v>
      </c>
      <c r="C48" t="s">
        <v>4</v>
      </c>
      <c r="D48" t="s">
        <v>215</v>
      </c>
      <c r="E48" t="s">
        <v>160</v>
      </c>
      <c r="F48" t="s">
        <v>12</v>
      </c>
      <c r="G48" t="s">
        <v>153</v>
      </c>
      <c r="H48" s="1">
        <v>44675</v>
      </c>
      <c r="I48">
        <v>109</v>
      </c>
      <c r="J48">
        <v>422</v>
      </c>
      <c r="K48">
        <v>752</v>
      </c>
      <c r="M48" s="2" t="str">
        <f t="shared" si="0"/>
        <v>lane1-s156-index-CTTCGGCAGAAT-FMS70_18s_S156</v>
      </c>
    </row>
    <row r="49" spans="1:13">
      <c r="A49" t="s">
        <v>363</v>
      </c>
      <c r="B49" t="s">
        <v>5</v>
      </c>
      <c r="C49" t="s">
        <v>4</v>
      </c>
      <c r="D49" t="s">
        <v>216</v>
      </c>
      <c r="E49" t="s">
        <v>160</v>
      </c>
      <c r="F49" t="s">
        <v>13</v>
      </c>
      <c r="G49" t="s">
        <v>153</v>
      </c>
      <c r="H49" s="1">
        <v>44675</v>
      </c>
      <c r="I49">
        <v>109</v>
      </c>
      <c r="J49">
        <v>264</v>
      </c>
      <c r="K49">
        <v>158</v>
      </c>
      <c r="M49" s="2" t="str">
        <f t="shared" si="0"/>
        <v>lane1-s157-index-CACGGTTGTGAG-FMS79_18s_S157</v>
      </c>
    </row>
    <row r="50" spans="1:13">
      <c r="A50" t="s">
        <v>364</v>
      </c>
      <c r="B50" t="s">
        <v>5</v>
      </c>
      <c r="C50" t="s">
        <v>4</v>
      </c>
      <c r="D50" t="s">
        <v>217</v>
      </c>
      <c r="E50" t="s">
        <v>160</v>
      </c>
      <c r="F50" t="s">
        <v>79</v>
      </c>
      <c r="G50" t="s">
        <v>153</v>
      </c>
      <c r="H50" s="1">
        <v>44675</v>
      </c>
      <c r="I50">
        <v>109</v>
      </c>
      <c r="J50">
        <v>300</v>
      </c>
      <c r="K50">
        <v>260</v>
      </c>
      <c r="M50" s="2" t="str">
        <f t="shared" si="0"/>
        <v>lane1-s223-index-ATGAGACTCCAC-FMS72_18s_S223</v>
      </c>
    </row>
    <row r="51" spans="1:13">
      <c r="A51" t="s">
        <v>365</v>
      </c>
      <c r="B51" t="s">
        <v>5</v>
      </c>
      <c r="C51" t="s">
        <v>4</v>
      </c>
      <c r="D51" t="s">
        <v>218</v>
      </c>
      <c r="E51" t="s">
        <v>160</v>
      </c>
      <c r="F51" t="s">
        <v>80</v>
      </c>
      <c r="G51" t="s">
        <v>153</v>
      </c>
      <c r="H51" s="1">
        <v>44675</v>
      </c>
      <c r="I51">
        <v>109</v>
      </c>
      <c r="J51">
        <v>458</v>
      </c>
      <c r="K51">
        <v>779</v>
      </c>
      <c r="M51" s="2" t="str">
        <f t="shared" si="0"/>
        <v>lane1-s224-index-GACGGAACCCAT-FMS71_18s_S224</v>
      </c>
    </row>
    <row r="52" spans="1:13">
      <c r="A52" t="s">
        <v>366</v>
      </c>
      <c r="B52" t="s">
        <v>5</v>
      </c>
      <c r="C52" t="s">
        <v>4</v>
      </c>
      <c r="D52" t="s">
        <v>219</v>
      </c>
      <c r="E52" t="s">
        <v>160</v>
      </c>
      <c r="F52" t="s">
        <v>85</v>
      </c>
      <c r="G52" t="s">
        <v>153</v>
      </c>
      <c r="H52" s="1">
        <v>44675</v>
      </c>
      <c r="I52">
        <v>109</v>
      </c>
      <c r="J52">
        <v>261</v>
      </c>
      <c r="K52">
        <v>202</v>
      </c>
      <c r="M52" s="2" t="str">
        <f t="shared" si="0"/>
        <v>lane1-s229-index-CCATACATAGCT-FMS78_18s_S229</v>
      </c>
    </row>
    <row r="53" spans="1:13">
      <c r="A53" t="s">
        <v>367</v>
      </c>
      <c r="B53" t="s">
        <v>5</v>
      </c>
      <c r="C53" t="s">
        <v>4</v>
      </c>
      <c r="D53" t="s">
        <v>220</v>
      </c>
      <c r="E53" t="s">
        <v>160</v>
      </c>
      <c r="F53" t="s">
        <v>88</v>
      </c>
      <c r="G53" t="s">
        <v>153</v>
      </c>
      <c r="H53" s="1">
        <v>44675</v>
      </c>
      <c r="I53">
        <v>109</v>
      </c>
      <c r="J53">
        <v>252</v>
      </c>
      <c r="K53">
        <v>168</v>
      </c>
      <c r="M53" s="2" t="str">
        <f t="shared" si="0"/>
        <v>lane1-s232-index-TGGCACCGATTA-FMS77_18s_S232</v>
      </c>
    </row>
    <row r="54" spans="1:13">
      <c r="A54" t="s">
        <v>368</v>
      </c>
      <c r="B54" t="s">
        <v>5</v>
      </c>
      <c r="C54" t="s">
        <v>4</v>
      </c>
      <c r="D54" t="s">
        <v>221</v>
      </c>
      <c r="E54" t="s">
        <v>160</v>
      </c>
      <c r="F54" t="s">
        <v>89</v>
      </c>
      <c r="G54" t="s">
        <v>153</v>
      </c>
      <c r="H54" s="1">
        <v>44675</v>
      </c>
      <c r="I54">
        <v>109</v>
      </c>
      <c r="J54">
        <v>278</v>
      </c>
      <c r="K54">
        <v>214</v>
      </c>
      <c r="M54" s="2" t="str">
        <f t="shared" si="0"/>
        <v>lane1-s233-index-TCCCAGAACAAC-FMS76_18s_S233</v>
      </c>
    </row>
    <row r="55" spans="1:13">
      <c r="A55" t="s">
        <v>369</v>
      </c>
      <c r="B55" t="s">
        <v>5</v>
      </c>
      <c r="C55" t="s">
        <v>4</v>
      </c>
      <c r="D55" t="s">
        <v>222</v>
      </c>
      <c r="E55" t="s">
        <v>160</v>
      </c>
      <c r="F55" t="s">
        <v>91</v>
      </c>
      <c r="G55" t="s">
        <v>153</v>
      </c>
      <c r="H55" s="1">
        <v>44675</v>
      </c>
      <c r="I55">
        <v>109</v>
      </c>
      <c r="J55">
        <v>408</v>
      </c>
      <c r="K55">
        <v>588</v>
      </c>
      <c r="M55" s="2" t="str">
        <f t="shared" si="0"/>
        <v>lane1-s235-index-TGAGTCACTGGT-FMS75_18s_S235</v>
      </c>
    </row>
    <row r="56" spans="1:13">
      <c r="A56" t="s">
        <v>370</v>
      </c>
      <c r="B56" t="s">
        <v>5</v>
      </c>
      <c r="C56" t="s">
        <v>4</v>
      </c>
      <c r="D56" t="s">
        <v>223</v>
      </c>
      <c r="E56" t="s">
        <v>160</v>
      </c>
      <c r="F56" t="s">
        <v>92</v>
      </c>
      <c r="G56" t="s">
        <v>153</v>
      </c>
      <c r="H56" s="1">
        <v>44675</v>
      </c>
      <c r="I56">
        <v>109</v>
      </c>
      <c r="J56">
        <v>307</v>
      </c>
      <c r="K56">
        <v>294</v>
      </c>
      <c r="M56" s="2" t="str">
        <f t="shared" si="0"/>
        <v>lane1-s236-index-CCAAGTCTTACA-FMS74_18s_S236</v>
      </c>
    </row>
    <row r="57" spans="1:13">
      <c r="A57" t="s">
        <v>371</v>
      </c>
      <c r="B57" t="s">
        <v>5</v>
      </c>
      <c r="C57" t="s">
        <v>4</v>
      </c>
      <c r="D57" t="s">
        <v>224</v>
      </c>
      <c r="E57" t="s">
        <v>160</v>
      </c>
      <c r="F57" t="s">
        <v>93</v>
      </c>
      <c r="G57" t="s">
        <v>153</v>
      </c>
      <c r="H57" s="1">
        <v>44675</v>
      </c>
      <c r="I57">
        <v>109</v>
      </c>
      <c r="J57">
        <v>326</v>
      </c>
      <c r="K57">
        <v>313</v>
      </c>
      <c r="M57" s="2" t="str">
        <f t="shared" si="0"/>
        <v>lane1-s237-index-AAGAGATGTCGA-FMS73_18s_S237</v>
      </c>
    </row>
    <row r="58" spans="1:13">
      <c r="A58" t="s">
        <v>372</v>
      </c>
      <c r="B58" t="s">
        <v>5</v>
      </c>
      <c r="C58" t="s">
        <v>4</v>
      </c>
      <c r="D58" t="s">
        <v>225</v>
      </c>
      <c r="E58" t="s">
        <v>156</v>
      </c>
      <c r="F58" t="s">
        <v>129</v>
      </c>
      <c r="G58" t="s">
        <v>159</v>
      </c>
      <c r="H58" s="1">
        <v>44675</v>
      </c>
      <c r="I58">
        <v>109</v>
      </c>
      <c r="M58" s="2" t="str">
        <f t="shared" si="0"/>
        <v>lane1-s275-index-GGAAAGTCGAAG-109_2A_18s_S275</v>
      </c>
    </row>
    <row r="59" spans="1:13">
      <c r="A59" t="s">
        <v>373</v>
      </c>
      <c r="B59" t="s">
        <v>5</v>
      </c>
      <c r="C59" t="s">
        <v>4</v>
      </c>
      <c r="D59" t="s">
        <v>226</v>
      </c>
      <c r="E59" t="s">
        <v>156</v>
      </c>
      <c r="F59" t="s">
        <v>130</v>
      </c>
      <c r="G59" t="s">
        <v>159</v>
      </c>
      <c r="H59" s="1">
        <v>44675</v>
      </c>
      <c r="I59">
        <v>109</v>
      </c>
      <c r="M59" s="2" t="str">
        <f t="shared" si="0"/>
        <v>lane1-s276-index-TCCACAGGAGTT-109_2B_18s_S276</v>
      </c>
    </row>
    <row r="60" spans="1:13">
      <c r="A60" t="s">
        <v>374</v>
      </c>
      <c r="B60" t="s">
        <v>5</v>
      </c>
      <c r="C60" t="s">
        <v>4</v>
      </c>
      <c r="D60" t="s">
        <v>227</v>
      </c>
      <c r="E60" t="s">
        <v>156</v>
      </c>
      <c r="F60" t="s">
        <v>145</v>
      </c>
      <c r="G60" t="s">
        <v>158</v>
      </c>
      <c r="H60" s="1">
        <v>44675</v>
      </c>
      <c r="I60">
        <v>109</v>
      </c>
      <c r="M60" s="2" t="str">
        <f t="shared" si="0"/>
        <v>lane1-s291-index-TAACTTGCGGAC-SHINUMOA_18s_S291</v>
      </c>
    </row>
    <row r="61" spans="1:13">
      <c r="A61" t="s">
        <v>375</v>
      </c>
      <c r="B61" t="s">
        <v>5</v>
      </c>
      <c r="C61" t="s">
        <v>4</v>
      </c>
      <c r="D61" t="s">
        <v>228</v>
      </c>
      <c r="E61" t="s">
        <v>156</v>
      </c>
      <c r="F61" t="s">
        <v>146</v>
      </c>
      <c r="G61" t="s">
        <v>158</v>
      </c>
      <c r="H61" s="1">
        <v>44675</v>
      </c>
      <c r="I61">
        <v>109</v>
      </c>
      <c r="M61" s="2" t="str">
        <f t="shared" si="0"/>
        <v>lane1-s292-index-CGCCAAATAACC-SHINUMOB_18s_S292</v>
      </c>
    </row>
    <row r="62" spans="1:13">
      <c r="A62" t="s">
        <v>376</v>
      </c>
      <c r="B62" t="s">
        <v>5</v>
      </c>
      <c r="C62" t="s">
        <v>4</v>
      </c>
      <c r="D62" t="s">
        <v>229</v>
      </c>
      <c r="E62" t="s">
        <v>160</v>
      </c>
      <c r="F62" t="s">
        <v>14</v>
      </c>
      <c r="G62" t="s">
        <v>153</v>
      </c>
      <c r="H62" s="1">
        <v>44676</v>
      </c>
      <c r="I62">
        <v>134</v>
      </c>
      <c r="J62">
        <v>339</v>
      </c>
      <c r="K62">
        <v>370</v>
      </c>
      <c r="M62" s="2" t="str">
        <f t="shared" si="0"/>
        <v>lane1-s158-index-AATCCGTACAGC-FMS80_18s_S158</v>
      </c>
    </row>
    <row r="63" spans="1:13">
      <c r="A63" t="s">
        <v>377</v>
      </c>
      <c r="B63" t="s">
        <v>5</v>
      </c>
      <c r="C63" t="s">
        <v>4</v>
      </c>
      <c r="D63" t="s">
        <v>230</v>
      </c>
      <c r="E63" t="s">
        <v>160</v>
      </c>
      <c r="F63" t="s">
        <v>15</v>
      </c>
      <c r="G63" t="s">
        <v>153</v>
      </c>
      <c r="H63" s="1">
        <v>44676</v>
      </c>
      <c r="I63">
        <v>134</v>
      </c>
      <c r="J63">
        <v>395</v>
      </c>
      <c r="K63">
        <v>535</v>
      </c>
      <c r="M63" s="2" t="str">
        <f t="shared" si="0"/>
        <v>lane1-s159-index-TACACGATCTAC-FMS81_18s_S159</v>
      </c>
    </row>
    <row r="64" spans="1:13">
      <c r="A64" t="s">
        <v>378</v>
      </c>
      <c r="B64" t="s">
        <v>5</v>
      </c>
      <c r="C64" t="s">
        <v>4</v>
      </c>
      <c r="D64" t="s">
        <v>231</v>
      </c>
      <c r="E64" t="s">
        <v>160</v>
      </c>
      <c r="F64" t="s">
        <v>17</v>
      </c>
      <c r="G64" t="s">
        <v>153</v>
      </c>
      <c r="H64" s="1">
        <v>44676</v>
      </c>
      <c r="I64">
        <v>134</v>
      </c>
      <c r="J64">
        <v>326</v>
      </c>
      <c r="K64">
        <v>344</v>
      </c>
      <c r="M64" s="2" t="str">
        <f t="shared" si="0"/>
        <v>lane1-s161-index-TACAGATGGCTC-FMS83_18s_S161</v>
      </c>
    </row>
    <row r="65" spans="1:13">
      <c r="A65" t="s">
        <v>379</v>
      </c>
      <c r="B65" t="s">
        <v>5</v>
      </c>
      <c r="C65" t="s">
        <v>4</v>
      </c>
      <c r="D65" t="s">
        <v>232</v>
      </c>
      <c r="E65" t="s">
        <v>160</v>
      </c>
      <c r="F65" t="s">
        <v>18</v>
      </c>
      <c r="G65" t="s">
        <v>153</v>
      </c>
      <c r="H65" s="1">
        <v>44676</v>
      </c>
      <c r="I65">
        <v>134</v>
      </c>
      <c r="J65">
        <v>311</v>
      </c>
      <c r="K65">
        <v>263</v>
      </c>
      <c r="M65" s="2" t="str">
        <f t="shared" si="0"/>
        <v>lane1-s162-index-GAGGCTCATCAT-FMS84_18s_S162</v>
      </c>
    </row>
    <row r="66" spans="1:13">
      <c r="A66" t="s">
        <v>380</v>
      </c>
      <c r="B66" t="s">
        <v>5</v>
      </c>
      <c r="C66" t="s">
        <v>4</v>
      </c>
      <c r="D66" t="s">
        <v>233</v>
      </c>
      <c r="E66" t="s">
        <v>160</v>
      </c>
      <c r="F66" t="s">
        <v>19</v>
      </c>
      <c r="G66" t="s">
        <v>153</v>
      </c>
      <c r="H66" s="1">
        <v>44676</v>
      </c>
      <c r="I66">
        <v>134</v>
      </c>
      <c r="J66">
        <v>280</v>
      </c>
      <c r="K66">
        <v>185</v>
      </c>
      <c r="M66" s="2" t="str">
        <f t="shared" si="0"/>
        <v>lane1-s163-index-GAAGTTGGAAGT-FMS86_18s_S163</v>
      </c>
    </row>
    <row r="67" spans="1:13">
      <c r="A67" t="s">
        <v>381</v>
      </c>
      <c r="B67" t="s">
        <v>5</v>
      </c>
      <c r="C67" t="s">
        <v>4</v>
      </c>
      <c r="D67" t="s">
        <v>234</v>
      </c>
      <c r="E67" t="s">
        <v>160</v>
      </c>
      <c r="F67" t="s">
        <v>20</v>
      </c>
      <c r="G67" t="s">
        <v>153</v>
      </c>
      <c r="H67" s="1">
        <v>44676</v>
      </c>
      <c r="I67">
        <v>134</v>
      </c>
      <c r="J67">
        <v>272</v>
      </c>
      <c r="K67">
        <v>203</v>
      </c>
      <c r="M67" s="2" t="str">
        <f t="shared" ref="M67:M130" si="1">SUBSTITUTE(A67, "-", "_", LEN(A67) - LEN(SUBSTITUTE(A67, "-", "")))</f>
        <v>lane1-s164-index-ACGGGACATGCT-FMS87_18s_S164</v>
      </c>
    </row>
    <row r="68" spans="1:13">
      <c r="A68" t="s">
        <v>382</v>
      </c>
      <c r="B68" t="s">
        <v>5</v>
      </c>
      <c r="C68" t="s">
        <v>4</v>
      </c>
      <c r="D68" t="s">
        <v>235</v>
      </c>
      <c r="E68" t="s">
        <v>160</v>
      </c>
      <c r="F68" t="s">
        <v>21</v>
      </c>
      <c r="G68" t="s">
        <v>153</v>
      </c>
      <c r="H68" s="1">
        <v>44676</v>
      </c>
      <c r="I68">
        <v>134</v>
      </c>
      <c r="J68">
        <v>394</v>
      </c>
      <c r="K68">
        <v>589</v>
      </c>
      <c r="M68" s="2" t="str">
        <f t="shared" si="1"/>
        <v>lane1-s165-index-GAGGAATAGCAG-FMS88_18s_S165</v>
      </c>
    </row>
    <row r="69" spans="1:13">
      <c r="A69" t="s">
        <v>383</v>
      </c>
      <c r="B69" t="s">
        <v>5</v>
      </c>
      <c r="C69" t="s">
        <v>4</v>
      </c>
      <c r="D69" t="s">
        <v>236</v>
      </c>
      <c r="E69" t="s">
        <v>160</v>
      </c>
      <c r="F69" t="s">
        <v>22</v>
      </c>
      <c r="G69" t="s">
        <v>153</v>
      </c>
      <c r="H69" s="1">
        <v>44676</v>
      </c>
      <c r="I69">
        <v>134</v>
      </c>
      <c r="J69">
        <v>362</v>
      </c>
      <c r="K69">
        <v>413</v>
      </c>
      <c r="M69" s="2" t="str">
        <f t="shared" si="1"/>
        <v>lane1-s166-index-ACACCTGGTGAT-FMS89_18s_S166</v>
      </c>
    </row>
    <row r="70" spans="1:13">
      <c r="A70" t="s">
        <v>384</v>
      </c>
      <c r="B70" t="s">
        <v>5</v>
      </c>
      <c r="C70" t="s">
        <v>4</v>
      </c>
      <c r="D70" t="s">
        <v>237</v>
      </c>
      <c r="E70" t="s">
        <v>156</v>
      </c>
      <c r="F70" t="s">
        <v>131</v>
      </c>
      <c r="G70" t="s">
        <v>159</v>
      </c>
      <c r="H70" s="1">
        <v>44676</v>
      </c>
      <c r="I70">
        <v>134</v>
      </c>
      <c r="M70" s="2" t="str">
        <f t="shared" si="1"/>
        <v>lane1-s277-index-TCATCGCGATAT-134_2A_18s_S277</v>
      </c>
    </row>
    <row r="71" spans="1:13">
      <c r="A71" t="s">
        <v>385</v>
      </c>
      <c r="B71" t="s">
        <v>5</v>
      </c>
      <c r="C71" t="s">
        <v>4</v>
      </c>
      <c r="D71" t="s">
        <v>238</v>
      </c>
      <c r="E71" t="s">
        <v>156</v>
      </c>
      <c r="F71" t="s">
        <v>132</v>
      </c>
      <c r="G71" t="s">
        <v>159</v>
      </c>
      <c r="H71" s="1">
        <v>44676</v>
      </c>
      <c r="I71">
        <v>134</v>
      </c>
      <c r="M71" s="2" t="str">
        <f t="shared" si="1"/>
        <v>lane1-s278-index-GACTTATAGGCC-134_2B_18s_S278</v>
      </c>
    </row>
    <row r="72" spans="1:13">
      <c r="A72" t="s">
        <v>386</v>
      </c>
      <c r="B72" t="s">
        <v>5</v>
      </c>
      <c r="C72" t="s">
        <v>4</v>
      </c>
      <c r="D72" t="s">
        <v>239</v>
      </c>
      <c r="E72" t="s">
        <v>156</v>
      </c>
      <c r="F72" t="s">
        <v>147</v>
      </c>
      <c r="G72" t="s">
        <v>158</v>
      </c>
      <c r="H72" s="1">
        <v>44676</v>
      </c>
      <c r="I72">
        <v>134</v>
      </c>
      <c r="M72" s="2" t="str">
        <f t="shared" si="1"/>
        <v>lane1-s293-index-TCAAGGCATCGG-TAPEATSA_18s_S293</v>
      </c>
    </row>
    <row r="73" spans="1:13">
      <c r="A73" t="s">
        <v>387</v>
      </c>
      <c r="B73" t="s">
        <v>5</v>
      </c>
      <c r="C73" t="s">
        <v>4</v>
      </c>
      <c r="D73" t="s">
        <v>240</v>
      </c>
      <c r="E73" t="s">
        <v>156</v>
      </c>
      <c r="F73" t="s">
        <v>148</v>
      </c>
      <c r="G73" t="s">
        <v>158</v>
      </c>
      <c r="H73" s="1">
        <v>44676</v>
      </c>
      <c r="I73">
        <v>134</v>
      </c>
      <c r="M73" s="2" t="str">
        <f t="shared" si="1"/>
        <v>lane1-s294-index-TTCGCGTGAAAC-TAPEATSB_18s_S294</v>
      </c>
    </row>
    <row r="74" spans="1:13">
      <c r="A74" t="s">
        <v>388</v>
      </c>
      <c r="B74" t="s">
        <v>5</v>
      </c>
      <c r="C74" t="s">
        <v>4</v>
      </c>
      <c r="D74" t="s">
        <v>241</v>
      </c>
      <c r="E74" t="s">
        <v>156</v>
      </c>
      <c r="F74" t="s">
        <v>133</v>
      </c>
      <c r="G74" t="s">
        <v>159</v>
      </c>
      <c r="H74" s="1">
        <v>44676</v>
      </c>
      <c r="I74">
        <v>144</v>
      </c>
      <c r="M74" s="2" t="str">
        <f t="shared" si="1"/>
        <v>lane1-s279-index-ACGCAACTGCTA-144A_18s_S279</v>
      </c>
    </row>
    <row r="75" spans="1:13">
      <c r="A75" t="s">
        <v>389</v>
      </c>
      <c r="B75" t="s">
        <v>5</v>
      </c>
      <c r="C75" t="s">
        <v>4</v>
      </c>
      <c r="D75" t="s">
        <v>242</v>
      </c>
      <c r="E75" t="s">
        <v>156</v>
      </c>
      <c r="F75" t="s">
        <v>134</v>
      </c>
      <c r="G75" t="s">
        <v>159</v>
      </c>
      <c r="H75" s="1">
        <v>44676</v>
      </c>
      <c r="I75">
        <v>144</v>
      </c>
      <c r="M75" s="2" t="str">
        <f t="shared" si="1"/>
        <v>lane1-s280-index-ACCCTGTACCCT-144B_18s_S280</v>
      </c>
    </row>
    <row r="76" spans="1:13">
      <c r="A76" t="s">
        <v>390</v>
      </c>
      <c r="B76" t="s">
        <v>5</v>
      </c>
      <c r="C76" t="s">
        <v>4</v>
      </c>
      <c r="D76" t="s">
        <v>243</v>
      </c>
      <c r="E76" t="s">
        <v>156</v>
      </c>
      <c r="F76" t="s">
        <v>149</v>
      </c>
      <c r="G76" t="s">
        <v>158</v>
      </c>
      <c r="H76" s="1">
        <v>44676</v>
      </c>
      <c r="I76">
        <v>144</v>
      </c>
      <c r="M76" s="2" t="str">
        <f t="shared" si="1"/>
        <v>lane1-s295-index-GGAAGTGAAGTT-KANABA_18s_S295</v>
      </c>
    </row>
    <row r="77" spans="1:13">
      <c r="A77" t="s">
        <v>391</v>
      </c>
      <c r="B77" t="s">
        <v>5</v>
      </c>
      <c r="C77" t="s">
        <v>4</v>
      </c>
      <c r="D77" t="s">
        <v>244</v>
      </c>
      <c r="E77" t="s">
        <v>156</v>
      </c>
      <c r="F77" t="s">
        <v>150</v>
      </c>
      <c r="G77" t="s">
        <v>158</v>
      </c>
      <c r="H77" s="1">
        <v>44676</v>
      </c>
      <c r="I77">
        <v>144</v>
      </c>
      <c r="M77" s="2" t="str">
        <f t="shared" si="1"/>
        <v>lane1-s296-index-ATGACCATCGTG-KANABB_18s_S296</v>
      </c>
    </row>
    <row r="78" spans="1:13">
      <c r="A78" t="s">
        <v>392</v>
      </c>
      <c r="B78" t="s">
        <v>5</v>
      </c>
      <c r="C78" t="s">
        <v>4</v>
      </c>
      <c r="D78" t="s">
        <v>245</v>
      </c>
      <c r="E78" t="s">
        <v>160</v>
      </c>
      <c r="F78" t="s">
        <v>95</v>
      </c>
      <c r="G78" t="s">
        <v>153</v>
      </c>
      <c r="H78" s="1">
        <v>44677</v>
      </c>
      <c r="I78">
        <v>144</v>
      </c>
      <c r="J78">
        <v>382</v>
      </c>
      <c r="K78">
        <v>504</v>
      </c>
      <c r="M78" s="2" t="str">
        <f t="shared" si="1"/>
        <v>lane1-s239-index-TGGCAGTTTGTT-FMS90_18s_S239</v>
      </c>
    </row>
    <row r="79" spans="1:13">
      <c r="A79" t="s">
        <v>393</v>
      </c>
      <c r="B79" t="s">
        <v>5</v>
      </c>
      <c r="C79" t="s">
        <v>4</v>
      </c>
      <c r="D79" t="s">
        <v>246</v>
      </c>
      <c r="E79" t="s">
        <v>160</v>
      </c>
      <c r="F79" t="s">
        <v>96</v>
      </c>
      <c r="G79" t="s">
        <v>153</v>
      </c>
      <c r="H79" s="1">
        <v>44677</v>
      </c>
      <c r="I79">
        <v>144</v>
      </c>
      <c r="J79">
        <v>306</v>
      </c>
      <c r="K79">
        <v>250</v>
      </c>
      <c r="M79" s="2" t="str">
        <f t="shared" si="1"/>
        <v>lane1-s240-index-CAATTGTGCACG-FMS91_18s_S240</v>
      </c>
    </row>
    <row r="80" spans="1:13">
      <c r="A80" t="s">
        <v>394</v>
      </c>
      <c r="B80" t="s">
        <v>5</v>
      </c>
      <c r="C80" t="s">
        <v>4</v>
      </c>
      <c r="D80" t="s">
        <v>247</v>
      </c>
      <c r="E80" t="s">
        <v>160</v>
      </c>
      <c r="F80" t="s">
        <v>97</v>
      </c>
      <c r="G80" t="s">
        <v>153</v>
      </c>
      <c r="H80" s="1">
        <v>44677</v>
      </c>
      <c r="I80">
        <v>144</v>
      </c>
      <c r="J80">
        <v>241</v>
      </c>
      <c r="K80">
        <v>126</v>
      </c>
      <c r="M80" s="2" t="str">
        <f t="shared" si="1"/>
        <v>lane1-s241-index-AAGTTCGCGCTA-FMS92_18s_S241</v>
      </c>
    </row>
    <row r="81" spans="1:13">
      <c r="A81" t="s">
        <v>395</v>
      </c>
      <c r="B81" t="s">
        <v>5</v>
      </c>
      <c r="C81" t="s">
        <v>4</v>
      </c>
      <c r="D81" t="s">
        <v>248</v>
      </c>
      <c r="E81" t="s">
        <v>160</v>
      </c>
      <c r="F81" t="s">
        <v>98</v>
      </c>
      <c r="G81" t="s">
        <v>153</v>
      </c>
      <c r="H81" s="1">
        <v>44677</v>
      </c>
      <c r="I81">
        <v>144</v>
      </c>
      <c r="J81">
        <v>445</v>
      </c>
      <c r="K81">
        <v>705</v>
      </c>
      <c r="M81" s="2" t="str">
        <f t="shared" si="1"/>
        <v>lane1-s242-index-TACTTCGCTCGC-FMS93_18s_S242</v>
      </c>
    </row>
    <row r="82" spans="1:13">
      <c r="A82" t="s">
        <v>396</v>
      </c>
      <c r="B82" t="s">
        <v>5</v>
      </c>
      <c r="C82" t="s">
        <v>4</v>
      </c>
      <c r="D82" t="s">
        <v>249</v>
      </c>
      <c r="E82" t="s">
        <v>160</v>
      </c>
      <c r="F82" t="s">
        <v>99</v>
      </c>
      <c r="G82" t="s">
        <v>153</v>
      </c>
      <c r="H82" s="1">
        <v>44677</v>
      </c>
      <c r="I82">
        <v>144</v>
      </c>
      <c r="J82">
        <v>400</v>
      </c>
      <c r="K82">
        <v>518</v>
      </c>
      <c r="M82" s="2" t="str">
        <f t="shared" si="1"/>
        <v>lane1-s243-index-ATACCTTCGGTA-FMS94_18s_S243</v>
      </c>
    </row>
    <row r="83" spans="1:13">
      <c r="A83" t="s">
        <v>397</v>
      </c>
      <c r="B83" t="s">
        <v>5</v>
      </c>
      <c r="C83" t="s">
        <v>4</v>
      </c>
      <c r="D83" t="s">
        <v>250</v>
      </c>
      <c r="E83" t="s">
        <v>160</v>
      </c>
      <c r="F83" t="s">
        <v>100</v>
      </c>
      <c r="G83" t="s">
        <v>153</v>
      </c>
      <c r="H83" s="1">
        <v>44677</v>
      </c>
      <c r="I83">
        <v>144</v>
      </c>
      <c r="J83">
        <v>387</v>
      </c>
      <c r="K83">
        <v>503</v>
      </c>
      <c r="M83" s="2" t="str">
        <f t="shared" si="1"/>
        <v>lane1-s244-index-CAGATTTCGGTG-FMS98_18s_S244</v>
      </c>
    </row>
    <row r="84" spans="1:13">
      <c r="A84" t="s">
        <v>398</v>
      </c>
      <c r="B84" t="s">
        <v>5</v>
      </c>
      <c r="C84" t="s">
        <v>4</v>
      </c>
      <c r="D84" t="s">
        <v>251</v>
      </c>
      <c r="E84" t="s">
        <v>156</v>
      </c>
      <c r="F84" t="s">
        <v>135</v>
      </c>
      <c r="G84" t="s">
        <v>159</v>
      </c>
      <c r="H84" s="1">
        <v>44677</v>
      </c>
      <c r="I84">
        <v>174.8</v>
      </c>
      <c r="M84" s="2" t="str">
        <f t="shared" si="1"/>
        <v>lane1-s281-index-GCCATAGGTTTG-174_9A_18s_S281</v>
      </c>
    </row>
    <row r="85" spans="1:13">
      <c r="A85" t="s">
        <v>399</v>
      </c>
      <c r="B85" t="s">
        <v>5</v>
      </c>
      <c r="C85" t="s">
        <v>4</v>
      </c>
      <c r="D85" t="s">
        <v>252</v>
      </c>
      <c r="E85" t="s">
        <v>156</v>
      </c>
      <c r="F85" t="s">
        <v>136</v>
      </c>
      <c r="G85" t="s">
        <v>159</v>
      </c>
      <c r="H85" s="1">
        <v>44677</v>
      </c>
      <c r="I85">
        <v>174.8</v>
      </c>
      <c r="M85" s="2" t="str">
        <f t="shared" si="1"/>
        <v>lane1-s282-index-CAGTAACGGCCA-174_9B_18s_S282</v>
      </c>
    </row>
    <row r="86" spans="1:13">
      <c r="A86" t="s">
        <v>400</v>
      </c>
      <c r="B86" t="s">
        <v>5</v>
      </c>
      <c r="C86" t="s">
        <v>4</v>
      </c>
      <c r="D86" t="s">
        <v>253</v>
      </c>
      <c r="E86" t="s">
        <v>160</v>
      </c>
      <c r="F86" t="s">
        <v>23</v>
      </c>
      <c r="G86" t="s">
        <v>153</v>
      </c>
      <c r="H86" s="1">
        <v>44678</v>
      </c>
      <c r="I86">
        <v>174.8</v>
      </c>
      <c r="J86">
        <v>430</v>
      </c>
      <c r="K86">
        <v>675</v>
      </c>
      <c r="M86" s="2" t="str">
        <f t="shared" si="1"/>
        <v>lane1-s167-index-GCACACACGTTA-FMS101_18s_S167</v>
      </c>
    </row>
    <row r="87" spans="1:13">
      <c r="A87" t="s">
        <v>401</v>
      </c>
      <c r="B87" t="s">
        <v>5</v>
      </c>
      <c r="C87" t="s">
        <v>4</v>
      </c>
      <c r="D87" t="s">
        <v>254</v>
      </c>
      <c r="E87" t="s">
        <v>160</v>
      </c>
      <c r="F87" t="s">
        <v>24</v>
      </c>
      <c r="G87" t="s">
        <v>153</v>
      </c>
      <c r="H87" s="1">
        <v>44678</v>
      </c>
      <c r="I87">
        <v>174.8</v>
      </c>
      <c r="J87">
        <v>241</v>
      </c>
      <c r="K87">
        <v>132</v>
      </c>
      <c r="M87" s="2" t="str">
        <f t="shared" si="1"/>
        <v>lane1-s168-index-GTTGGTCAATCT-FMS104_18s_S168</v>
      </c>
    </row>
    <row r="88" spans="1:13">
      <c r="A88" t="s">
        <v>402</v>
      </c>
      <c r="B88" t="s">
        <v>5</v>
      </c>
      <c r="C88" t="s">
        <v>4</v>
      </c>
      <c r="D88" t="s">
        <v>255</v>
      </c>
      <c r="E88" t="s">
        <v>160</v>
      </c>
      <c r="F88" t="s">
        <v>25</v>
      </c>
      <c r="G88" t="s">
        <v>153</v>
      </c>
      <c r="H88" s="1">
        <v>44678</v>
      </c>
      <c r="I88">
        <v>174.8</v>
      </c>
      <c r="J88">
        <v>297</v>
      </c>
      <c r="K88">
        <v>236</v>
      </c>
      <c r="M88" s="2" t="str">
        <f t="shared" si="1"/>
        <v>lane1-s169-index-ACGTGTACCCAA-FMS109_18s_S169</v>
      </c>
    </row>
    <row r="89" spans="1:13">
      <c r="A89" t="s">
        <v>403</v>
      </c>
      <c r="B89" t="s">
        <v>5</v>
      </c>
      <c r="C89" t="s">
        <v>4</v>
      </c>
      <c r="D89" t="s">
        <v>256</v>
      </c>
      <c r="E89" t="s">
        <v>160</v>
      </c>
      <c r="F89" t="s">
        <v>44</v>
      </c>
      <c r="G89" t="s">
        <v>155</v>
      </c>
      <c r="H89" s="1">
        <v>44678</v>
      </c>
      <c r="I89">
        <v>174.8</v>
      </c>
      <c r="J89">
        <v>289</v>
      </c>
      <c r="K89">
        <v>232</v>
      </c>
      <c r="M89" s="2" t="str">
        <f t="shared" si="1"/>
        <v>lane1-s188-index-GGATCGCAGATC-RBT2_18s_S188</v>
      </c>
    </row>
    <row r="90" spans="1:13">
      <c r="A90" t="s">
        <v>404</v>
      </c>
      <c r="B90" t="s">
        <v>5</v>
      </c>
      <c r="C90" t="s">
        <v>4</v>
      </c>
      <c r="D90" t="s">
        <v>257</v>
      </c>
      <c r="E90" t="s">
        <v>160</v>
      </c>
      <c r="F90" t="s">
        <v>45</v>
      </c>
      <c r="G90" t="s">
        <v>155</v>
      </c>
      <c r="H90" s="1">
        <v>44678</v>
      </c>
      <c r="I90">
        <v>174.8</v>
      </c>
      <c r="J90">
        <v>319</v>
      </c>
      <c r="K90">
        <v>339</v>
      </c>
      <c r="M90" s="2" t="str">
        <f t="shared" si="1"/>
        <v>lane1-s189-index-TCACGGGAGTTG-RBT1_18s_S189</v>
      </c>
    </row>
    <row r="91" spans="1:13">
      <c r="A91" t="s">
        <v>405</v>
      </c>
      <c r="B91" t="s">
        <v>5</v>
      </c>
      <c r="C91" t="s">
        <v>4</v>
      </c>
      <c r="D91" t="s">
        <v>258</v>
      </c>
      <c r="E91" t="s">
        <v>160</v>
      </c>
      <c r="F91" t="s">
        <v>101</v>
      </c>
      <c r="G91" t="s">
        <v>153</v>
      </c>
      <c r="H91" s="1">
        <v>44678</v>
      </c>
      <c r="I91">
        <v>174.8</v>
      </c>
      <c r="J91">
        <v>403</v>
      </c>
      <c r="K91">
        <v>512</v>
      </c>
      <c r="M91" s="2" t="str">
        <f t="shared" si="1"/>
        <v>lane1-s245-index-TGTCAAGTCGTG-FMS100_18s_S245</v>
      </c>
    </row>
    <row r="92" spans="1:13">
      <c r="A92" t="s">
        <v>406</v>
      </c>
      <c r="B92" t="s">
        <v>5</v>
      </c>
      <c r="C92" t="s">
        <v>4</v>
      </c>
      <c r="D92" t="s">
        <v>259</v>
      </c>
      <c r="E92" t="s">
        <v>160</v>
      </c>
      <c r="F92" t="s">
        <v>102</v>
      </c>
      <c r="G92" t="s">
        <v>153</v>
      </c>
      <c r="H92" s="1">
        <v>44678</v>
      </c>
      <c r="I92">
        <v>174.8</v>
      </c>
      <c r="J92">
        <v>403</v>
      </c>
      <c r="K92">
        <v>532</v>
      </c>
      <c r="L92" t="s">
        <v>168</v>
      </c>
      <c r="M92" s="2" t="str">
        <f t="shared" si="1"/>
        <v>lane1-s246-index-TTCTCCGTGTCG-FMS102_18s_S246</v>
      </c>
    </row>
    <row r="93" spans="1:13">
      <c r="A93" t="s">
        <v>407</v>
      </c>
      <c r="B93" t="s">
        <v>5</v>
      </c>
      <c r="C93" t="s">
        <v>4</v>
      </c>
      <c r="D93" t="s">
        <v>260</v>
      </c>
      <c r="E93" t="s">
        <v>160</v>
      </c>
      <c r="F93" t="s">
        <v>103</v>
      </c>
      <c r="G93" t="s">
        <v>153</v>
      </c>
      <c r="H93" s="1">
        <v>44678</v>
      </c>
      <c r="I93">
        <v>174.8</v>
      </c>
      <c r="J93">
        <v>293</v>
      </c>
      <c r="K93">
        <v>226</v>
      </c>
      <c r="M93" s="2" t="str">
        <f t="shared" si="1"/>
        <v>lane1-s247-index-CGCGTAACTGTA-FMS103_18s_S247</v>
      </c>
    </row>
    <row r="94" spans="1:13">
      <c r="A94" t="s">
        <v>408</v>
      </c>
      <c r="B94" t="s">
        <v>5</v>
      </c>
      <c r="C94" t="s">
        <v>4</v>
      </c>
      <c r="D94" t="s">
        <v>261</v>
      </c>
      <c r="E94" t="s">
        <v>160</v>
      </c>
      <c r="F94" t="s">
        <v>104</v>
      </c>
      <c r="G94" t="s">
        <v>153</v>
      </c>
      <c r="H94" s="1">
        <v>44678</v>
      </c>
      <c r="I94">
        <v>174.8</v>
      </c>
      <c r="J94">
        <v>279</v>
      </c>
      <c r="K94">
        <v>183</v>
      </c>
      <c r="M94" s="2" t="str">
        <f t="shared" si="1"/>
        <v>lane1-s248-index-GAACTTAGGCCG-FMS105_18s_S248</v>
      </c>
    </row>
    <row r="95" spans="1:13">
      <c r="A95" t="s">
        <v>409</v>
      </c>
      <c r="B95" t="s">
        <v>5</v>
      </c>
      <c r="C95" t="s">
        <v>4</v>
      </c>
      <c r="D95" t="s">
        <v>262</v>
      </c>
      <c r="E95" t="s">
        <v>160</v>
      </c>
      <c r="F95" t="s">
        <v>105</v>
      </c>
      <c r="G95" t="s">
        <v>153</v>
      </c>
      <c r="H95" s="1">
        <v>44678</v>
      </c>
      <c r="I95">
        <v>174.8</v>
      </c>
      <c r="J95">
        <v>280</v>
      </c>
      <c r="K95">
        <v>183</v>
      </c>
      <c r="M95" s="2" t="str">
        <f t="shared" si="1"/>
        <v>lane1-s249-index-GGTGCGTGTATG-FMS106_18s_S249</v>
      </c>
    </row>
    <row r="96" spans="1:13">
      <c r="A96" t="s">
        <v>410</v>
      </c>
      <c r="B96" t="s">
        <v>5</v>
      </c>
      <c r="C96" t="s">
        <v>4</v>
      </c>
      <c r="D96" t="s">
        <v>263</v>
      </c>
      <c r="E96" t="s">
        <v>160</v>
      </c>
      <c r="F96" t="s">
        <v>106</v>
      </c>
      <c r="G96" t="s">
        <v>153</v>
      </c>
      <c r="H96" s="1">
        <v>44678</v>
      </c>
      <c r="I96">
        <v>174.8</v>
      </c>
      <c r="J96">
        <v>229</v>
      </c>
      <c r="K96">
        <v>105</v>
      </c>
      <c r="M96" s="2" t="str">
        <f t="shared" si="1"/>
        <v>lane1-s250-index-AGAAGTCCCTGG-FMS107_18s_S250</v>
      </c>
    </row>
    <row r="97" spans="1:13">
      <c r="A97" t="s">
        <v>411</v>
      </c>
      <c r="B97" t="s">
        <v>5</v>
      </c>
      <c r="C97" t="s">
        <v>4</v>
      </c>
      <c r="D97" t="s">
        <v>264</v>
      </c>
      <c r="E97" t="s">
        <v>160</v>
      </c>
      <c r="F97" t="s">
        <v>107</v>
      </c>
      <c r="G97" t="s">
        <v>153</v>
      </c>
      <c r="H97" s="1">
        <v>44678</v>
      </c>
      <c r="I97">
        <v>174.8</v>
      </c>
      <c r="J97">
        <v>186</v>
      </c>
      <c r="K97">
        <v>63</v>
      </c>
      <c r="M97" s="2" t="str">
        <f t="shared" si="1"/>
        <v>lane1-s251-index-TGAGTGGAATGA-FMS108_18s_S251</v>
      </c>
    </row>
    <row r="98" spans="1:13">
      <c r="A98" t="s">
        <v>412</v>
      </c>
      <c r="B98" t="s">
        <v>5</v>
      </c>
      <c r="C98" t="s">
        <v>4</v>
      </c>
      <c r="D98" t="s">
        <v>265</v>
      </c>
      <c r="E98" t="s">
        <v>160</v>
      </c>
      <c r="F98" t="s">
        <v>108</v>
      </c>
      <c r="G98" t="s">
        <v>153</v>
      </c>
      <c r="H98" s="1">
        <v>44678</v>
      </c>
      <c r="I98">
        <v>174.8</v>
      </c>
      <c r="J98">
        <v>292</v>
      </c>
      <c r="K98">
        <v>208</v>
      </c>
      <c r="M98" s="2" t="str">
        <f t="shared" si="1"/>
        <v>lane1-s252-index-AGTTCTACGTCA-FMS110_18s_S252</v>
      </c>
    </row>
    <row r="99" spans="1:13">
      <c r="A99" t="s">
        <v>413</v>
      </c>
      <c r="B99" t="s">
        <v>5</v>
      </c>
      <c r="C99" t="s">
        <v>4</v>
      </c>
      <c r="D99" t="s">
        <v>266</v>
      </c>
      <c r="E99" t="s">
        <v>160</v>
      </c>
      <c r="F99" t="s">
        <v>27</v>
      </c>
      <c r="G99" t="s">
        <v>153</v>
      </c>
      <c r="H99" s="1">
        <v>44679</v>
      </c>
      <c r="I99">
        <v>213</v>
      </c>
      <c r="J99">
        <v>346</v>
      </c>
      <c r="K99">
        <v>356</v>
      </c>
      <c r="M99" s="2" t="str">
        <f t="shared" si="1"/>
        <v>lane1-s171-index-TTCCTAGGTGAG-FMS116_18s_S171</v>
      </c>
    </row>
    <row r="100" spans="1:13">
      <c r="A100" t="s">
        <v>414</v>
      </c>
      <c r="B100" t="s">
        <v>5</v>
      </c>
      <c r="C100" t="s">
        <v>4</v>
      </c>
      <c r="D100" t="s">
        <v>267</v>
      </c>
      <c r="E100" t="s">
        <v>160</v>
      </c>
      <c r="F100" t="s">
        <v>30</v>
      </c>
      <c r="G100" t="s">
        <v>154</v>
      </c>
      <c r="H100" s="1">
        <v>44679</v>
      </c>
      <c r="I100">
        <v>213</v>
      </c>
      <c r="J100">
        <v>258</v>
      </c>
      <c r="K100">
        <v>184</v>
      </c>
      <c r="M100" s="2" t="str">
        <f t="shared" si="1"/>
        <v>lane1-s174-index-TATCGTTGACCA-HBC8_18s_S174</v>
      </c>
    </row>
    <row r="101" spans="1:13">
      <c r="A101" t="s">
        <v>415</v>
      </c>
      <c r="B101" t="s">
        <v>5</v>
      </c>
      <c r="C101" t="s">
        <v>4</v>
      </c>
      <c r="D101" t="s">
        <v>268</v>
      </c>
      <c r="E101" t="s">
        <v>160</v>
      </c>
      <c r="F101" t="s">
        <v>31</v>
      </c>
      <c r="G101" t="s">
        <v>154</v>
      </c>
      <c r="H101" s="1">
        <v>44679</v>
      </c>
      <c r="I101">
        <v>213</v>
      </c>
      <c r="J101">
        <v>125</v>
      </c>
      <c r="K101">
        <v>21</v>
      </c>
      <c r="M101" s="2" t="str">
        <f t="shared" si="1"/>
        <v>lane1-s175-index-CACGCCATAATG-HBC11_18s_S175</v>
      </c>
    </row>
    <row r="102" spans="1:13">
      <c r="A102" t="s">
        <v>416</v>
      </c>
      <c r="B102" t="s">
        <v>5</v>
      </c>
      <c r="C102" t="s">
        <v>4</v>
      </c>
      <c r="D102" t="s">
        <v>269</v>
      </c>
      <c r="E102" t="s">
        <v>160</v>
      </c>
      <c r="F102" t="s">
        <v>52</v>
      </c>
      <c r="G102" t="s">
        <v>154</v>
      </c>
      <c r="H102" s="1">
        <v>44679</v>
      </c>
      <c r="I102">
        <v>213</v>
      </c>
      <c r="J102">
        <v>239</v>
      </c>
      <c r="K102">
        <v>152</v>
      </c>
      <c r="M102" s="2" t="str">
        <f t="shared" si="1"/>
        <v>lane1-s196-index-ATTAGTTCGCGT-HBC5_18s_S196</v>
      </c>
    </row>
    <row r="103" spans="1:13">
      <c r="A103" t="s">
        <v>417</v>
      </c>
      <c r="B103" t="s">
        <v>5</v>
      </c>
      <c r="C103" t="s">
        <v>4</v>
      </c>
      <c r="D103" t="s">
        <v>270</v>
      </c>
      <c r="E103" t="s">
        <v>160</v>
      </c>
      <c r="F103" t="s">
        <v>53</v>
      </c>
      <c r="G103" t="s">
        <v>154</v>
      </c>
      <c r="H103" s="1">
        <v>44679</v>
      </c>
      <c r="I103">
        <v>213</v>
      </c>
      <c r="J103">
        <v>214</v>
      </c>
      <c r="K103">
        <v>130</v>
      </c>
      <c r="M103" s="2" t="str">
        <f t="shared" si="1"/>
        <v>lane1-s197-index-CTGCTAACGCAA-HBC6_18s_S197</v>
      </c>
    </row>
    <row r="104" spans="1:13">
      <c r="A104" t="s">
        <v>418</v>
      </c>
      <c r="B104" t="s">
        <v>5</v>
      </c>
      <c r="C104" t="s">
        <v>4</v>
      </c>
      <c r="D104" t="s">
        <v>271</v>
      </c>
      <c r="E104" t="s">
        <v>160</v>
      </c>
      <c r="F104" t="s">
        <v>54</v>
      </c>
      <c r="G104" t="s">
        <v>154</v>
      </c>
      <c r="H104" s="1">
        <v>44679</v>
      </c>
      <c r="I104">
        <v>213</v>
      </c>
      <c r="J104">
        <v>232</v>
      </c>
      <c r="K104">
        <v>129</v>
      </c>
      <c r="M104" s="2" t="str">
        <f t="shared" si="1"/>
        <v>lane1-s198-index-TCCGAATTCACA-HBC7_18s_S198</v>
      </c>
    </row>
    <row r="105" spans="1:13">
      <c r="A105" t="s">
        <v>419</v>
      </c>
      <c r="B105" t="s">
        <v>5</v>
      </c>
      <c r="C105" t="s">
        <v>4</v>
      </c>
      <c r="D105" t="s">
        <v>272</v>
      </c>
      <c r="E105" t="s">
        <v>160</v>
      </c>
      <c r="F105" t="s">
        <v>109</v>
      </c>
      <c r="G105" t="s">
        <v>153</v>
      </c>
      <c r="H105" s="1">
        <v>44679</v>
      </c>
      <c r="I105">
        <v>213</v>
      </c>
      <c r="J105">
        <v>205</v>
      </c>
      <c r="K105">
        <v>79</v>
      </c>
      <c r="M105" s="2" t="str">
        <f t="shared" si="1"/>
        <v>lane1-s253-index-TAAGCCTCCAAG-FMS114_18s_S253</v>
      </c>
    </row>
    <row r="106" spans="1:13">
      <c r="A106" t="s">
        <v>420</v>
      </c>
      <c r="B106" t="s">
        <v>5</v>
      </c>
      <c r="C106" t="s">
        <v>4</v>
      </c>
      <c r="D106" t="s">
        <v>273</v>
      </c>
      <c r="E106" t="s">
        <v>156</v>
      </c>
      <c r="F106" t="s">
        <v>137</v>
      </c>
      <c r="G106" t="s">
        <v>159</v>
      </c>
      <c r="H106" s="1">
        <v>44679</v>
      </c>
      <c r="I106">
        <v>215</v>
      </c>
      <c r="M106" s="2" t="str">
        <f t="shared" si="1"/>
        <v>lane1-s283-index-GGTTCTTATGAC-215A_18s_S283</v>
      </c>
    </row>
    <row r="107" spans="1:13">
      <c r="A107" t="s">
        <v>421</v>
      </c>
      <c r="B107" t="s">
        <v>5</v>
      </c>
      <c r="C107" t="s">
        <v>4</v>
      </c>
      <c r="D107" t="s">
        <v>274</v>
      </c>
      <c r="E107" t="s">
        <v>156</v>
      </c>
      <c r="F107" t="s">
        <v>138</v>
      </c>
      <c r="G107" t="s">
        <v>159</v>
      </c>
      <c r="H107" s="1">
        <v>44679</v>
      </c>
      <c r="I107">
        <v>215</v>
      </c>
      <c r="M107" s="2" t="str">
        <f t="shared" si="1"/>
        <v>lane1-s284-index-CTACGACCATTA-215B_18s_S284</v>
      </c>
    </row>
    <row r="108" spans="1:13">
      <c r="A108" t="s">
        <v>422</v>
      </c>
      <c r="B108" t="s">
        <v>5</v>
      </c>
      <c r="C108" t="s">
        <v>4</v>
      </c>
      <c r="D108" t="s">
        <v>275</v>
      </c>
      <c r="E108" t="s">
        <v>156</v>
      </c>
      <c r="F108" t="s">
        <v>151</v>
      </c>
      <c r="G108" t="s">
        <v>158</v>
      </c>
      <c r="H108" s="1">
        <v>44679</v>
      </c>
      <c r="I108">
        <v>215</v>
      </c>
      <c r="M108" s="2" t="str">
        <f t="shared" si="1"/>
        <v>lane1-s297-index-TCGTTGGATGGT-TSA_18s_S297</v>
      </c>
    </row>
    <row r="109" spans="1:13">
      <c r="A109" t="s">
        <v>423</v>
      </c>
      <c r="B109" t="s">
        <v>5</v>
      </c>
      <c r="C109" t="s">
        <v>4</v>
      </c>
      <c r="D109" t="s">
        <v>276</v>
      </c>
      <c r="E109" t="s">
        <v>156</v>
      </c>
      <c r="F109" t="s">
        <v>152</v>
      </c>
      <c r="G109" t="s">
        <v>158</v>
      </c>
      <c r="H109" s="1">
        <v>44679</v>
      </c>
      <c r="I109">
        <v>215</v>
      </c>
      <c r="M109" s="2" t="str">
        <f t="shared" si="1"/>
        <v>lane1-s298-index-TTGCCACTAGAT-TSB_18s_S298</v>
      </c>
    </row>
    <row r="110" spans="1:13">
      <c r="A110" t="s">
        <v>424</v>
      </c>
      <c r="B110" t="s">
        <v>5</v>
      </c>
      <c r="C110" t="s">
        <v>4</v>
      </c>
      <c r="D110" t="s">
        <v>277</v>
      </c>
      <c r="E110" t="s">
        <v>156</v>
      </c>
      <c r="F110" t="s">
        <v>119</v>
      </c>
      <c r="G110" t="s">
        <v>158</v>
      </c>
      <c r="H110" s="1">
        <v>44679</v>
      </c>
      <c r="I110">
        <v>246</v>
      </c>
      <c r="M110" s="2" t="str">
        <f t="shared" si="1"/>
        <v>lane1-s265-index-GTGTTTGGTCGA-SPENCERA_18s_S265</v>
      </c>
    </row>
    <row r="111" spans="1:13">
      <c r="A111" t="s">
        <v>425</v>
      </c>
      <c r="B111" t="s">
        <v>5</v>
      </c>
      <c r="C111" t="s">
        <v>4</v>
      </c>
      <c r="D111" t="s">
        <v>278</v>
      </c>
      <c r="E111" t="s">
        <v>156</v>
      </c>
      <c r="F111" t="s">
        <v>120</v>
      </c>
      <c r="G111" t="s">
        <v>158</v>
      </c>
      <c r="H111" s="1">
        <v>44679</v>
      </c>
      <c r="I111">
        <v>246</v>
      </c>
      <c r="M111" s="2" t="str">
        <f t="shared" si="1"/>
        <v>lane1-s266-index-GAAGGAAGCAGG-SPENCERB_18s_S266</v>
      </c>
    </row>
    <row r="112" spans="1:13">
      <c r="A112" t="s">
        <v>426</v>
      </c>
      <c r="B112" t="s">
        <v>5</v>
      </c>
      <c r="C112" t="s">
        <v>4</v>
      </c>
      <c r="D112" t="s">
        <v>279</v>
      </c>
      <c r="E112" t="s">
        <v>156</v>
      </c>
      <c r="F112" t="s">
        <v>139</v>
      </c>
      <c r="G112" t="s">
        <v>159</v>
      </c>
      <c r="H112" s="1">
        <v>44679</v>
      </c>
      <c r="I112">
        <v>246</v>
      </c>
      <c r="M112" s="2" t="str">
        <f t="shared" si="1"/>
        <v>lane1-s285-index-AGATTACCGGCG-246A_18s_S285</v>
      </c>
    </row>
    <row r="113" spans="1:13">
      <c r="A113" t="s">
        <v>427</v>
      </c>
      <c r="B113" t="s">
        <v>5</v>
      </c>
      <c r="C113" t="s">
        <v>4</v>
      </c>
      <c r="D113" t="s">
        <v>280</v>
      </c>
      <c r="E113" t="s">
        <v>156</v>
      </c>
      <c r="F113" t="s">
        <v>140</v>
      </c>
      <c r="G113" t="s">
        <v>159</v>
      </c>
      <c r="H113" s="1">
        <v>44679</v>
      </c>
      <c r="I113">
        <v>246</v>
      </c>
      <c r="M113" s="2" t="str">
        <f t="shared" si="1"/>
        <v>lane1-s286-index-GCATGAAATGGA-246B_18s_S286</v>
      </c>
    </row>
    <row r="114" spans="1:13">
      <c r="A114" t="s">
        <v>428</v>
      </c>
      <c r="B114" t="s">
        <v>5</v>
      </c>
      <c r="C114" t="s">
        <v>4</v>
      </c>
      <c r="D114" t="s">
        <v>281</v>
      </c>
      <c r="E114" t="s">
        <v>160</v>
      </c>
      <c r="F114" t="s">
        <v>110</v>
      </c>
      <c r="G114" t="s">
        <v>153</v>
      </c>
      <c r="H114" s="1">
        <v>44679</v>
      </c>
      <c r="I114">
        <v>213</v>
      </c>
      <c r="J114">
        <v>264</v>
      </c>
      <c r="K114">
        <v>162</v>
      </c>
      <c r="M114" s="2" t="str">
        <f t="shared" si="1"/>
        <v>lane1-s254-index-TGTCATAGGTTC-FMS118_18s_S254</v>
      </c>
    </row>
    <row r="115" spans="1:13">
      <c r="A115" t="s">
        <v>429</v>
      </c>
      <c r="B115" t="s">
        <v>5</v>
      </c>
      <c r="C115" t="s">
        <v>4</v>
      </c>
      <c r="D115" t="s">
        <v>282</v>
      </c>
      <c r="E115" t="s">
        <v>160</v>
      </c>
      <c r="F115" t="s">
        <v>29</v>
      </c>
      <c r="G115" t="s">
        <v>153</v>
      </c>
      <c r="H115" s="1">
        <v>44680</v>
      </c>
      <c r="I115">
        <v>250</v>
      </c>
      <c r="J115">
        <v>282</v>
      </c>
      <c r="M115" s="2" t="str">
        <f t="shared" si="1"/>
        <v>lane1-s173-index-CAGCGGTGACAT-FMS130_18s_S173</v>
      </c>
    </row>
    <row r="116" spans="1:13">
      <c r="A116" t="s">
        <v>430</v>
      </c>
      <c r="B116" t="s">
        <v>5</v>
      </c>
      <c r="C116" t="s">
        <v>4</v>
      </c>
      <c r="D116" t="s">
        <v>283</v>
      </c>
      <c r="E116" t="s">
        <v>160</v>
      </c>
      <c r="F116" t="s">
        <v>32</v>
      </c>
      <c r="G116" t="s">
        <v>154</v>
      </c>
      <c r="H116" s="1">
        <v>44680</v>
      </c>
      <c r="I116">
        <v>250</v>
      </c>
      <c r="J116">
        <v>287</v>
      </c>
      <c r="M116" s="2" t="str">
        <f t="shared" si="1"/>
        <v>lane1-s176-index-TAGCTCGTAACT-HBC27_18s_S176</v>
      </c>
    </row>
    <row r="117" spans="1:13">
      <c r="A117" t="s">
        <v>431</v>
      </c>
      <c r="B117" t="s">
        <v>5</v>
      </c>
      <c r="C117" t="s">
        <v>4</v>
      </c>
      <c r="D117" t="s">
        <v>284</v>
      </c>
      <c r="E117" t="s">
        <v>160</v>
      </c>
      <c r="F117" t="s">
        <v>43</v>
      </c>
      <c r="G117" t="s">
        <v>154</v>
      </c>
      <c r="H117" s="1">
        <v>44680</v>
      </c>
      <c r="I117">
        <v>250</v>
      </c>
      <c r="J117">
        <v>320</v>
      </c>
      <c r="K117">
        <v>356</v>
      </c>
      <c r="M117" s="2" t="str">
        <f t="shared" si="1"/>
        <v>lane1-s187-index-AGGCTACACGAC-HBC18_18s_S187</v>
      </c>
    </row>
    <row r="118" spans="1:13">
      <c r="A118" t="s">
        <v>432</v>
      </c>
      <c r="B118" t="s">
        <v>5</v>
      </c>
      <c r="C118" t="s">
        <v>4</v>
      </c>
      <c r="D118" t="s">
        <v>285</v>
      </c>
      <c r="E118" t="s">
        <v>160</v>
      </c>
      <c r="F118" t="s">
        <v>46</v>
      </c>
      <c r="G118" t="s">
        <v>154</v>
      </c>
      <c r="H118" s="1">
        <v>44680</v>
      </c>
      <c r="I118">
        <v>250</v>
      </c>
      <c r="J118">
        <v>250</v>
      </c>
      <c r="M118" s="2" t="str">
        <f t="shared" si="1"/>
        <v>lane1-s190-index-GTCTAATTCCGA-HBC32_18s_S190</v>
      </c>
    </row>
    <row r="119" spans="1:13">
      <c r="A119" t="s">
        <v>433</v>
      </c>
      <c r="B119" t="s">
        <v>5</v>
      </c>
      <c r="C119" t="s">
        <v>4</v>
      </c>
      <c r="D119" t="s">
        <v>286</v>
      </c>
      <c r="E119" t="s">
        <v>160</v>
      </c>
      <c r="F119" t="s">
        <v>47</v>
      </c>
      <c r="G119" t="s">
        <v>154</v>
      </c>
      <c r="H119" s="1">
        <v>44680</v>
      </c>
      <c r="I119">
        <v>250</v>
      </c>
      <c r="J119">
        <v>253</v>
      </c>
      <c r="M119" s="2" t="str">
        <f t="shared" si="1"/>
        <v>lane1-s191-index-CGCAGCGGTATA-HBC30_18s_S191</v>
      </c>
    </row>
    <row r="120" spans="1:13">
      <c r="A120" t="s">
        <v>434</v>
      </c>
      <c r="B120" t="s">
        <v>5</v>
      </c>
      <c r="C120" t="s">
        <v>4</v>
      </c>
      <c r="D120" t="s">
        <v>287</v>
      </c>
      <c r="E120" t="s">
        <v>160</v>
      </c>
      <c r="F120" t="s">
        <v>49</v>
      </c>
      <c r="G120" t="s">
        <v>154</v>
      </c>
      <c r="H120" s="1">
        <v>44680</v>
      </c>
      <c r="I120">
        <v>250</v>
      </c>
      <c r="J120">
        <v>332</v>
      </c>
      <c r="M120" s="2" t="str">
        <f t="shared" si="1"/>
        <v>lane1-s193-index-ACATTCAGCGCA-HBC26_18s_S193</v>
      </c>
    </row>
    <row r="121" spans="1:13">
      <c r="A121" t="s">
        <v>435</v>
      </c>
      <c r="B121" t="s">
        <v>5</v>
      </c>
      <c r="C121" t="s">
        <v>4</v>
      </c>
      <c r="D121" t="s">
        <v>288</v>
      </c>
      <c r="E121" t="s">
        <v>160</v>
      </c>
      <c r="F121" t="s">
        <v>50</v>
      </c>
      <c r="G121" t="s">
        <v>154</v>
      </c>
      <c r="H121" s="1">
        <v>44680</v>
      </c>
      <c r="I121">
        <v>250</v>
      </c>
      <c r="J121">
        <v>341</v>
      </c>
      <c r="K121">
        <v>425</v>
      </c>
      <c r="M121" s="2" t="str">
        <f t="shared" si="1"/>
        <v>lane1-s194-index-CCACCTACTCCA-HBC15_18s_S194</v>
      </c>
    </row>
    <row r="122" spans="1:13">
      <c r="A122" t="s">
        <v>436</v>
      </c>
      <c r="B122" t="s">
        <v>5</v>
      </c>
      <c r="C122" t="s">
        <v>4</v>
      </c>
      <c r="D122" t="s">
        <v>289</v>
      </c>
      <c r="E122" t="s">
        <v>160</v>
      </c>
      <c r="F122" t="s">
        <v>111</v>
      </c>
      <c r="G122" t="s">
        <v>153</v>
      </c>
      <c r="H122" s="1">
        <v>44680</v>
      </c>
      <c r="I122">
        <v>250</v>
      </c>
      <c r="J122">
        <v>217</v>
      </c>
      <c r="K122">
        <v>94</v>
      </c>
      <c r="M122" s="2" t="str">
        <f t="shared" si="1"/>
        <v>lane1-s256-index-GATGTGAGCGCT-FMS123_18s_S256</v>
      </c>
    </row>
    <row r="123" spans="1:13">
      <c r="A123" t="s">
        <v>437</v>
      </c>
      <c r="B123" t="s">
        <v>5</v>
      </c>
      <c r="C123" t="s">
        <v>4</v>
      </c>
      <c r="D123" t="s">
        <v>290</v>
      </c>
      <c r="E123" t="s">
        <v>160</v>
      </c>
      <c r="F123" t="s">
        <v>112</v>
      </c>
      <c r="G123" t="s">
        <v>153</v>
      </c>
      <c r="H123" s="1">
        <v>44680</v>
      </c>
      <c r="I123">
        <v>250</v>
      </c>
      <c r="J123">
        <v>280</v>
      </c>
      <c r="K123">
        <v>185</v>
      </c>
      <c r="M123" s="2" t="str">
        <f t="shared" si="1"/>
        <v>lane1-s257-index-CTTGACTGAGGT-FMS124_18s_S257</v>
      </c>
    </row>
    <row r="124" spans="1:13">
      <c r="A124" t="s">
        <v>438</v>
      </c>
      <c r="B124" t="s">
        <v>5</v>
      </c>
      <c r="C124" t="s">
        <v>4</v>
      </c>
      <c r="D124" t="s">
        <v>291</v>
      </c>
      <c r="E124" t="s">
        <v>160</v>
      </c>
      <c r="F124" t="s">
        <v>113</v>
      </c>
      <c r="G124" t="s">
        <v>153</v>
      </c>
      <c r="H124" s="1">
        <v>44680</v>
      </c>
      <c r="I124">
        <v>250</v>
      </c>
      <c r="J124">
        <v>222</v>
      </c>
      <c r="K124">
        <v>104</v>
      </c>
      <c r="M124" s="2" t="str">
        <f t="shared" si="1"/>
        <v>lane1-s258-index-CGCAAGGATTGC-FMS126_18s_S258</v>
      </c>
    </row>
    <row r="125" spans="1:13">
      <c r="A125" t="s">
        <v>439</v>
      </c>
      <c r="B125" t="s">
        <v>5</v>
      </c>
      <c r="C125" t="s">
        <v>4</v>
      </c>
      <c r="D125" t="s">
        <v>292</v>
      </c>
      <c r="E125" t="s">
        <v>160</v>
      </c>
      <c r="F125" t="s">
        <v>114</v>
      </c>
      <c r="G125" t="s">
        <v>153</v>
      </c>
      <c r="H125" s="1">
        <v>44680</v>
      </c>
      <c r="I125">
        <v>250</v>
      </c>
      <c r="J125">
        <v>330</v>
      </c>
      <c r="K125">
        <v>320</v>
      </c>
      <c r="M125" s="2" t="str">
        <f t="shared" si="1"/>
        <v>lane1-s259-index-TCGTGATGTGAC-FMS128_18s_S259</v>
      </c>
    </row>
    <row r="126" spans="1:13">
      <c r="A126" t="s">
        <v>440</v>
      </c>
      <c r="B126" t="s">
        <v>5</v>
      </c>
      <c r="C126" t="s">
        <v>4</v>
      </c>
      <c r="D126" t="s">
        <v>293</v>
      </c>
      <c r="E126" t="s">
        <v>160</v>
      </c>
      <c r="F126" t="s">
        <v>115</v>
      </c>
      <c r="G126" t="s">
        <v>153</v>
      </c>
      <c r="H126" s="1">
        <v>44680</v>
      </c>
      <c r="I126">
        <v>250</v>
      </c>
      <c r="J126">
        <v>240</v>
      </c>
      <c r="K126">
        <v>125</v>
      </c>
      <c r="M126" s="2" t="str">
        <f t="shared" si="1"/>
        <v>lane1-s260-index-TAGCCGGCATAG-FMS127_18s_S260</v>
      </c>
    </row>
    <row r="127" spans="1:13">
      <c r="A127" t="s">
        <v>441</v>
      </c>
      <c r="B127" t="s">
        <v>5</v>
      </c>
      <c r="C127" t="s">
        <v>4</v>
      </c>
      <c r="D127" t="s">
        <v>294</v>
      </c>
      <c r="E127" t="s">
        <v>160</v>
      </c>
      <c r="F127" t="s">
        <v>116</v>
      </c>
      <c r="G127" t="s">
        <v>153</v>
      </c>
      <c r="H127" s="1">
        <v>44680</v>
      </c>
      <c r="I127">
        <v>250</v>
      </c>
      <c r="J127">
        <v>244</v>
      </c>
      <c r="M127" s="2" t="str">
        <f t="shared" si="1"/>
        <v>lane1-s261-index-GTGGAACCACGT-FMS129_18s_S261</v>
      </c>
    </row>
    <row r="128" spans="1:13">
      <c r="A128" t="s">
        <v>442</v>
      </c>
      <c r="B128" t="s">
        <v>5</v>
      </c>
      <c r="C128" t="s">
        <v>4</v>
      </c>
      <c r="D128" t="s">
        <v>282</v>
      </c>
      <c r="E128" t="s">
        <v>160</v>
      </c>
      <c r="F128" t="s">
        <v>29</v>
      </c>
      <c r="G128" t="s">
        <v>153</v>
      </c>
      <c r="H128" s="1">
        <v>44680</v>
      </c>
      <c r="I128">
        <v>250</v>
      </c>
      <c r="J128">
        <v>282</v>
      </c>
      <c r="M128" s="2" t="str">
        <f t="shared" si="1"/>
        <v>lane1-s262-index-TATTACCGGCAT-FMS130_18s_S262</v>
      </c>
    </row>
    <row r="129" spans="1:13">
      <c r="A129" t="s">
        <v>443</v>
      </c>
      <c r="B129" t="s">
        <v>5</v>
      </c>
      <c r="C129" t="s">
        <v>4</v>
      </c>
      <c r="D129" t="s">
        <v>295</v>
      </c>
      <c r="E129" t="s">
        <v>160</v>
      </c>
      <c r="F129" t="s">
        <v>117</v>
      </c>
      <c r="G129" t="s">
        <v>153</v>
      </c>
      <c r="H129" s="1">
        <v>44680</v>
      </c>
      <c r="I129">
        <v>250</v>
      </c>
      <c r="J129">
        <v>272</v>
      </c>
      <c r="M129" s="2" t="str">
        <f t="shared" si="1"/>
        <v>lane1-s263-index-GATCCGACACTA-FMS132_18s_S263</v>
      </c>
    </row>
    <row r="130" spans="1:13">
      <c r="A130" t="s">
        <v>444</v>
      </c>
      <c r="B130" t="s">
        <v>5</v>
      </c>
      <c r="C130" t="s">
        <v>4</v>
      </c>
      <c r="D130" t="s">
        <v>296</v>
      </c>
      <c r="E130" t="s">
        <v>160</v>
      </c>
      <c r="F130" t="s">
        <v>118</v>
      </c>
      <c r="G130" t="s">
        <v>153</v>
      </c>
      <c r="H130" s="1">
        <v>44680</v>
      </c>
      <c r="I130">
        <v>250</v>
      </c>
      <c r="J130">
        <v>257</v>
      </c>
      <c r="M130" s="2" t="str">
        <f t="shared" si="1"/>
        <v>lane1-s264-index-GGTCAGCTTAAC-FMS133_18s_S264</v>
      </c>
    </row>
    <row r="131" spans="1:13">
      <c r="A131" t="s">
        <v>445</v>
      </c>
      <c r="B131" t="s">
        <v>5</v>
      </c>
      <c r="C131" t="s">
        <v>4</v>
      </c>
      <c r="D131" t="s">
        <v>297</v>
      </c>
      <c r="E131" t="s">
        <v>160</v>
      </c>
      <c r="F131" t="s">
        <v>36</v>
      </c>
      <c r="G131" t="s">
        <v>153</v>
      </c>
      <c r="H131" s="1">
        <v>44680</v>
      </c>
      <c r="I131">
        <v>250</v>
      </c>
      <c r="J131">
        <v>262</v>
      </c>
      <c r="K131">
        <v>154</v>
      </c>
      <c r="M131" s="2" t="str">
        <f t="shared" ref="M131:M150" si="2">SUBSTITUTE(A131, "-", "_", LEN(A131) - LEN(SUBSTITUTE(A131, "-", "")))</f>
        <v>lane1-s180-index-AACACAAGGAGT-FMS122_18s_S180</v>
      </c>
    </row>
    <row r="132" spans="1:13">
      <c r="A132" t="s">
        <v>446</v>
      </c>
      <c r="B132" t="s">
        <v>5</v>
      </c>
      <c r="C132" t="s">
        <v>4</v>
      </c>
      <c r="D132" t="s">
        <v>297</v>
      </c>
      <c r="E132" t="s">
        <v>160</v>
      </c>
      <c r="F132" t="s">
        <v>36</v>
      </c>
      <c r="G132" t="s">
        <v>153</v>
      </c>
      <c r="H132" s="1">
        <v>44680</v>
      </c>
      <c r="I132">
        <v>250</v>
      </c>
      <c r="J132">
        <v>262</v>
      </c>
      <c r="K132">
        <v>154</v>
      </c>
      <c r="M132" s="2" t="str">
        <f t="shared" si="2"/>
        <v>lane1-s255-index-TACTAGGGCTTG-FMS122_18s_S255</v>
      </c>
    </row>
    <row r="133" spans="1:13">
      <c r="A133" t="s">
        <v>447</v>
      </c>
      <c r="B133" t="s">
        <v>5</v>
      </c>
      <c r="C133" t="s">
        <v>4</v>
      </c>
      <c r="D133" t="s">
        <v>298</v>
      </c>
      <c r="E133" t="s">
        <v>160</v>
      </c>
      <c r="F133" t="s">
        <v>26</v>
      </c>
      <c r="G133" t="s">
        <v>153</v>
      </c>
      <c r="H133" s="1"/>
      <c r="M133" s="2" t="str">
        <f t="shared" si="2"/>
        <v>lane1-s170-index-TCCTCTGTCGAC-FMS109B_18s_S170</v>
      </c>
    </row>
    <row r="134" spans="1:13">
      <c r="A134" t="s">
        <v>448</v>
      </c>
      <c r="B134" t="s">
        <v>5</v>
      </c>
      <c r="C134" t="s">
        <v>4</v>
      </c>
      <c r="D134" t="s">
        <v>299</v>
      </c>
      <c r="E134" t="s">
        <v>160</v>
      </c>
      <c r="F134" t="s">
        <v>28</v>
      </c>
      <c r="G134" t="s">
        <v>153</v>
      </c>
      <c r="M134" s="2" t="str">
        <f t="shared" si="2"/>
        <v>lane1-s172-index-GTCATATCGTAC-LCRFMS3CA7_18s_S172</v>
      </c>
    </row>
    <row r="135" spans="1:13">
      <c r="A135" t="s">
        <v>449</v>
      </c>
      <c r="B135" t="s">
        <v>5</v>
      </c>
      <c r="C135" t="s">
        <v>4</v>
      </c>
      <c r="D135" t="s">
        <v>300</v>
      </c>
      <c r="E135" t="s">
        <v>160</v>
      </c>
      <c r="F135" t="s">
        <v>33</v>
      </c>
      <c r="G135" t="s">
        <v>154</v>
      </c>
      <c r="M135" s="2" t="str">
        <f t="shared" si="2"/>
        <v>lane1-s177-index-TAAACCGCGTGT-LCRHBCF415_18s_S177</v>
      </c>
    </row>
    <row r="136" spans="1:13">
      <c r="A136" t="s">
        <v>450</v>
      </c>
      <c r="B136" t="s">
        <v>5</v>
      </c>
      <c r="C136" t="s">
        <v>4</v>
      </c>
      <c r="D136" t="s">
        <v>301</v>
      </c>
      <c r="E136" t="s">
        <v>160</v>
      </c>
      <c r="F136" t="s">
        <v>34</v>
      </c>
      <c r="G136" t="s">
        <v>154</v>
      </c>
      <c r="M136" s="2" t="str">
        <f t="shared" si="2"/>
        <v>lane1-s178-index-CTATTTGCGACA-LCRHBC2532_18s_S178</v>
      </c>
    </row>
    <row r="137" spans="1:13">
      <c r="A137" t="s">
        <v>451</v>
      </c>
      <c r="B137" t="s">
        <v>5</v>
      </c>
      <c r="C137" t="s">
        <v>4</v>
      </c>
      <c r="D137" t="s">
        <v>302</v>
      </c>
      <c r="E137" t="s">
        <v>160</v>
      </c>
      <c r="F137" t="s">
        <v>35</v>
      </c>
      <c r="G137" t="s">
        <v>153</v>
      </c>
      <c r="M137" s="2" t="str">
        <f t="shared" si="2"/>
        <v>lane1-s179-index-GCACGACAACAC-LCRFMSA975_18s_S179</v>
      </c>
    </row>
    <row r="138" spans="1:13">
      <c r="A138" t="s">
        <v>452</v>
      </c>
      <c r="B138" t="s">
        <v>5</v>
      </c>
      <c r="C138" t="s">
        <v>4</v>
      </c>
      <c r="D138" t="s">
        <v>303</v>
      </c>
      <c r="E138" t="s">
        <v>160</v>
      </c>
      <c r="F138" t="s">
        <v>37</v>
      </c>
      <c r="G138" t="s">
        <v>154</v>
      </c>
      <c r="M138" s="2" t="str">
        <f t="shared" si="2"/>
        <v>lane1-s181-index-ATCGGCGTTACA-LCRHBC9710_18s_S181</v>
      </c>
    </row>
    <row r="139" spans="1:13">
      <c r="A139" t="s">
        <v>453</v>
      </c>
      <c r="B139" t="s">
        <v>5</v>
      </c>
      <c r="C139" t="s">
        <v>4</v>
      </c>
      <c r="D139" t="s">
        <v>304</v>
      </c>
      <c r="E139" t="s">
        <v>160</v>
      </c>
      <c r="F139" t="s">
        <v>38</v>
      </c>
      <c r="G139" t="s">
        <v>153</v>
      </c>
      <c r="M139" s="2" t="str">
        <f t="shared" si="2"/>
        <v>lane1-s182-index-TTACTGTGCGAT-LCRFMS15B5_18s_S182</v>
      </c>
    </row>
    <row r="140" spans="1:13">
      <c r="A140" t="s">
        <v>454</v>
      </c>
      <c r="B140" t="s">
        <v>5</v>
      </c>
      <c r="C140" t="s">
        <v>4</v>
      </c>
      <c r="D140" t="s">
        <v>305</v>
      </c>
      <c r="E140" t="s">
        <v>160</v>
      </c>
      <c r="F140" t="s">
        <v>39</v>
      </c>
      <c r="G140" t="s">
        <v>154</v>
      </c>
      <c r="M140" s="2" t="str">
        <f t="shared" si="2"/>
        <v>lane1-s183-index-AGTTCCCGAGTA-LCRHBCAEBC_18s_S183</v>
      </c>
    </row>
    <row r="141" spans="1:13">
      <c r="A141" t="s">
        <v>455</v>
      </c>
      <c r="B141" t="s">
        <v>5</v>
      </c>
      <c r="C141" t="s">
        <v>4</v>
      </c>
      <c r="D141" t="s">
        <v>306</v>
      </c>
      <c r="E141" t="s">
        <v>160</v>
      </c>
      <c r="F141" t="s">
        <v>40</v>
      </c>
      <c r="G141" t="s">
        <v>153</v>
      </c>
      <c r="M141" s="2" t="str">
        <f t="shared" si="2"/>
        <v>lane1-s184-index-CAGTGCATATGC-LCRFMS15F1_18s_S184</v>
      </c>
    </row>
    <row r="142" spans="1:13">
      <c r="A142" t="s">
        <v>456</v>
      </c>
      <c r="B142" t="s">
        <v>5</v>
      </c>
      <c r="C142" t="s">
        <v>4</v>
      </c>
      <c r="D142" t="s">
        <v>307</v>
      </c>
      <c r="E142" t="s">
        <v>160</v>
      </c>
      <c r="F142" t="s">
        <v>41</v>
      </c>
      <c r="G142" t="s">
        <v>154</v>
      </c>
      <c r="M142" s="2" t="str">
        <f t="shared" si="2"/>
        <v>lane1-s185-index-ATGTCGAGAGAA-LCRHBC15C9_18s_S185</v>
      </c>
    </row>
    <row r="143" spans="1:13">
      <c r="A143" t="s">
        <v>457</v>
      </c>
      <c r="B143" t="s">
        <v>5</v>
      </c>
      <c r="C143" t="s">
        <v>4</v>
      </c>
      <c r="D143" t="s">
        <v>308</v>
      </c>
      <c r="E143" t="s">
        <v>160</v>
      </c>
      <c r="F143" t="s">
        <v>42</v>
      </c>
      <c r="G143" t="s">
        <v>154</v>
      </c>
      <c r="M143" s="2" t="str">
        <f t="shared" si="2"/>
        <v>lane1-s186-index-AGTAGAGGGATG-LCRHBC3BD1_18s_S186</v>
      </c>
    </row>
    <row r="144" spans="1:13">
      <c r="A144" t="s">
        <v>458</v>
      </c>
      <c r="B144" t="s">
        <v>5</v>
      </c>
      <c r="C144" t="s">
        <v>4</v>
      </c>
      <c r="D144" t="s">
        <v>309</v>
      </c>
      <c r="E144" t="s">
        <v>160</v>
      </c>
      <c r="F144" t="s">
        <v>48</v>
      </c>
      <c r="G144" t="s">
        <v>154</v>
      </c>
      <c r="M144" s="2" t="str">
        <f t="shared" si="2"/>
        <v>lane1-s192-index-CTTGTGTCGATA-HBC27B_18s_S192</v>
      </c>
    </row>
    <row r="145" spans="1:13">
      <c r="A145" t="s">
        <v>459</v>
      </c>
      <c r="B145" t="s">
        <v>5</v>
      </c>
      <c r="C145" t="s">
        <v>4</v>
      </c>
      <c r="D145" t="s">
        <v>310</v>
      </c>
      <c r="E145" t="s">
        <v>160</v>
      </c>
      <c r="F145" t="s">
        <v>59</v>
      </c>
      <c r="G145" t="s">
        <v>153</v>
      </c>
      <c r="M145" s="2" t="str">
        <f t="shared" si="2"/>
        <v>lane1-s203-index-GTATGCGCTGTA-FMS23B_18s_S203</v>
      </c>
    </row>
    <row r="146" spans="1:13">
      <c r="A146" t="s">
        <v>460</v>
      </c>
      <c r="B146" t="s">
        <v>5</v>
      </c>
      <c r="C146" t="s">
        <v>4</v>
      </c>
      <c r="D146" t="s">
        <v>311</v>
      </c>
      <c r="E146" t="s">
        <v>160</v>
      </c>
      <c r="F146" t="s">
        <v>64</v>
      </c>
      <c r="G146" t="s">
        <v>153</v>
      </c>
      <c r="M146" s="2" t="str">
        <f t="shared" si="2"/>
        <v>lane1-s208-index-GCGGCAATTACG-FMS31B_18s_S208</v>
      </c>
    </row>
    <row r="147" spans="1:13">
      <c r="A147" t="s">
        <v>461</v>
      </c>
      <c r="B147" t="s">
        <v>5</v>
      </c>
      <c r="C147" t="s">
        <v>4</v>
      </c>
      <c r="D147" t="s">
        <v>312</v>
      </c>
      <c r="E147" t="s">
        <v>160</v>
      </c>
      <c r="F147" t="s">
        <v>65</v>
      </c>
      <c r="G147" t="s">
        <v>153</v>
      </c>
      <c r="M147" s="2" t="str">
        <f t="shared" si="2"/>
        <v>lane1-s209-index-CGAGAAGAGAAC-FMS30B_18s_S209</v>
      </c>
    </row>
    <row r="148" spans="1:13">
      <c r="A148" t="s">
        <v>462</v>
      </c>
      <c r="B148" t="s">
        <v>5</v>
      </c>
      <c r="C148" t="s">
        <v>4</v>
      </c>
      <c r="D148" t="s">
        <v>313</v>
      </c>
      <c r="E148" t="s">
        <v>160</v>
      </c>
      <c r="F148" t="s">
        <v>81</v>
      </c>
      <c r="G148" t="s">
        <v>153</v>
      </c>
      <c r="M148" s="2" t="str">
        <f t="shared" si="2"/>
        <v>lane1-s225-index-CAGCTAGAACGC-FMS70B_18s_S225</v>
      </c>
    </row>
    <row r="149" spans="1:13">
      <c r="A149" t="s">
        <v>463</v>
      </c>
      <c r="B149" t="s">
        <v>5</v>
      </c>
      <c r="C149" t="s">
        <v>4</v>
      </c>
      <c r="D149" t="s">
        <v>314</v>
      </c>
      <c r="E149" t="s">
        <v>160</v>
      </c>
      <c r="F149" t="s">
        <v>84</v>
      </c>
      <c r="G149" t="s">
        <v>153</v>
      </c>
      <c r="M149" s="2" t="str">
        <f t="shared" si="2"/>
        <v>lane1-s228-index-TAGCGGATCACG-FMS79B_18s_S228</v>
      </c>
    </row>
    <row r="150" spans="1:13">
      <c r="A150" t="s">
        <v>464</v>
      </c>
      <c r="B150" t="s">
        <v>5</v>
      </c>
      <c r="C150" t="s">
        <v>4</v>
      </c>
      <c r="D150" t="s">
        <v>315</v>
      </c>
      <c r="E150" t="s">
        <v>160</v>
      </c>
      <c r="F150" t="s">
        <v>94</v>
      </c>
      <c r="G150" t="s">
        <v>153</v>
      </c>
      <c r="M150" s="2" t="str">
        <f t="shared" si="2"/>
        <v>lane1-s238-index-GACAGGAGATAG-FMS64B_18s_S238</v>
      </c>
    </row>
  </sheetData>
  <sortState xmlns:xlrd2="http://schemas.microsoft.com/office/spreadsheetml/2017/richdata2" ref="A2:L150">
    <sortCondition ref="H104:H150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Schuman</dc:creator>
  <cp:lastModifiedBy>Isaac Schuman</cp:lastModifiedBy>
  <dcterms:created xsi:type="dcterms:W3CDTF">2023-11-03T21:52:47Z</dcterms:created>
  <dcterms:modified xsi:type="dcterms:W3CDTF">2024-02-01T02:14:29Z</dcterms:modified>
</cp:coreProperties>
</file>